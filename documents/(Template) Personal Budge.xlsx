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13_ncr:1_{14D63ACB-AB42-4FE9-A49C-35475A74162D}" xr6:coauthVersionLast="47" xr6:coauthVersionMax="47" xr10:uidLastSave="{00000000-0000-0000-0000-000000000000}"/>
  <bookViews>
    <workbookView xWindow="-110" yWindow="-110" windowWidth="25820" windowHeight="15860" xr2:uid="{00000000-000D-0000-FFFF-FFFF00000000}"/>
  </bookViews>
  <sheets>
    <sheet name="Cash flow" sheetId="1" r:id="rId1"/>
    <sheet name="Yearly income" sheetId="4" r:id="rId2"/>
    <sheet name="Yearly expenses" sheetId="3" r:id="rId3"/>
    <sheet name="List Income" sheetId="5" r:id="rId4"/>
    <sheet name="List Expenses" sheetId="6" r:id="rId5"/>
  </sheets>
  <definedNames>
    <definedName name="_xlnm.Print_Titles" localSheetId="0">'Cash flow'!$8:$8</definedName>
    <definedName name="_xlnm.Print_Titles" localSheetId="2">'Yearly expenses'!$5:$5</definedName>
    <definedName name="_xlnm.Print_Titles" localSheetId="1">'Yearly income'!$22:$22</definedName>
    <definedName name="Title1">CashFlow[[#Headers],[Cash Flow]]</definedName>
    <definedName name="Title2">Income[[#Headers],[Monthly Income]]</definedName>
    <definedName name="Title3">Expenses[[#Headers],[Monthly expenses]]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9" i="3" l="1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144" i="4"/>
  <c r="D145" i="4"/>
  <c r="D146" i="4"/>
  <c r="D147" i="4"/>
  <c r="D133" i="4"/>
  <c r="D134" i="4"/>
  <c r="D135" i="4"/>
  <c r="D136" i="4"/>
  <c r="D122" i="4"/>
  <c r="D123" i="4"/>
  <c r="D124" i="4"/>
  <c r="D125" i="4"/>
  <c r="D111" i="4"/>
  <c r="D112" i="4"/>
  <c r="D113" i="4"/>
  <c r="D114" i="4"/>
  <c r="D100" i="4"/>
  <c r="D101" i="4"/>
  <c r="D102" i="4"/>
  <c r="D103" i="4"/>
  <c r="D104" i="4" s="1"/>
  <c r="D89" i="4"/>
  <c r="D90" i="4"/>
  <c r="D91" i="4"/>
  <c r="D92" i="4"/>
  <c r="D78" i="4"/>
  <c r="D79" i="4"/>
  <c r="D80" i="4"/>
  <c r="D81" i="4"/>
  <c r="D67" i="4"/>
  <c r="D68" i="4"/>
  <c r="D69" i="4"/>
  <c r="D70" i="4"/>
  <c r="D56" i="4"/>
  <c r="D57" i="4"/>
  <c r="D58" i="4"/>
  <c r="D59" i="4"/>
  <c r="D45" i="4"/>
  <c r="D46" i="4"/>
  <c r="D47" i="4"/>
  <c r="D48" i="4"/>
  <c r="D34" i="4"/>
  <c r="D35" i="4"/>
  <c r="D36" i="4"/>
  <c r="D37" i="4"/>
  <c r="D23" i="4"/>
  <c r="D24" i="4"/>
  <c r="D25" i="4"/>
  <c r="D26" i="4"/>
  <c r="D93" i="4" l="1"/>
  <c r="D137" i="4"/>
  <c r="D71" i="4"/>
  <c r="D82" i="4"/>
  <c r="D115" i="4"/>
  <c r="D126" i="4"/>
  <c r="D60" i="4"/>
  <c r="D148" i="4"/>
  <c r="D168" i="3"/>
  <c r="D147" i="3"/>
  <c r="D210" i="3"/>
  <c r="D252" i="3"/>
  <c r="D105" i="3"/>
  <c r="D189" i="3"/>
  <c r="D28" i="1" s="1"/>
  <c r="D231" i="3"/>
  <c r="D273" i="3"/>
  <c r="D126" i="3"/>
  <c r="D49" i="4"/>
  <c r="D23" i="1" s="1"/>
  <c r="D12" i="4"/>
  <c r="D38" i="4"/>
  <c r="D22" i="1" s="1"/>
  <c r="D14" i="4"/>
  <c r="D11" i="4"/>
  <c r="D9" i="3"/>
  <c r="D8" i="3"/>
  <c r="D15" i="3"/>
  <c r="D13" i="3"/>
  <c r="D11" i="3"/>
  <c r="D14" i="3"/>
  <c r="D10" i="3"/>
  <c r="D84" i="3"/>
  <c r="D17" i="3"/>
  <c r="D16" i="3"/>
  <c r="D63" i="3"/>
  <c r="D12" i="3"/>
  <c r="D19" i="3"/>
  <c r="D18" i="3"/>
  <c r="D7" i="3"/>
  <c r="D6" i="3"/>
  <c r="D30" i="1" l="1"/>
  <c r="D25" i="1"/>
  <c r="D31" i="1"/>
  <c r="D27" i="1"/>
  <c r="D32" i="1"/>
  <c r="D24" i="1"/>
  <c r="D29" i="1"/>
  <c r="D26" i="1"/>
  <c r="D20" i="3"/>
  <c r="D10" i="1" s="1"/>
  <c r="D42" i="3"/>
  <c r="D27" i="4"/>
  <c r="D13" i="4"/>
  <c r="D10" i="4" s="1"/>
  <c r="D9" i="1" s="1"/>
  <c r="D21" i="1" l="1"/>
  <c r="D11" i="1"/>
</calcChain>
</file>

<file path=xl/sharedStrings.xml><?xml version="1.0" encoding="utf-8"?>
<sst xmlns="http://schemas.openxmlformats.org/spreadsheetml/2006/main" count="351" uniqueCount="61">
  <si>
    <t>Cash Flow</t>
  </si>
  <si>
    <t>Actual</t>
  </si>
  <si>
    <t>Total Income</t>
  </si>
  <si>
    <t>Monthly Income</t>
  </si>
  <si>
    <t>Other Income</t>
  </si>
  <si>
    <t>Groceries</t>
  </si>
  <si>
    <t>Transportation</t>
  </si>
  <si>
    <t>Gifts / Charity</t>
  </si>
  <si>
    <t>Savings</t>
  </si>
  <si>
    <t>Other</t>
  </si>
  <si>
    <t>Total income</t>
  </si>
  <si>
    <t>Total expenses</t>
  </si>
  <si>
    <t>Personal care</t>
  </si>
  <si>
    <t>Credit cards</t>
  </si>
  <si>
    <t>Monthly expenses</t>
  </si>
  <si>
    <t>PoliMi</t>
  </si>
  <si>
    <t>Deddo</t>
  </si>
  <si>
    <t>Cash</t>
  </si>
  <si>
    <t>Other income</t>
  </si>
  <si>
    <t>October INCOME</t>
  </si>
  <si>
    <t>November INCOME</t>
  </si>
  <si>
    <t>December INCOME</t>
  </si>
  <si>
    <t>Restaurants</t>
  </si>
  <si>
    <t>Going out</t>
  </si>
  <si>
    <t>Claudia</t>
  </si>
  <si>
    <t>Family</t>
  </si>
  <si>
    <t>Yearly EXPENSES</t>
  </si>
  <si>
    <t>Year</t>
  </si>
  <si>
    <t>Tot BUDGET</t>
  </si>
  <si>
    <t>October EXPENSES</t>
  </si>
  <si>
    <t>November EXPENSES</t>
  </si>
  <si>
    <t>December EXPENSES</t>
  </si>
  <si>
    <t>Travel</t>
  </si>
  <si>
    <t>Yearly INCOME</t>
  </si>
  <si>
    <t>Shopping</t>
  </si>
  <si>
    <t>DATE</t>
  </si>
  <si>
    <t>CATEGORY</t>
  </si>
  <si>
    <t>AMOUNT</t>
  </si>
  <si>
    <t>AMOUT</t>
  </si>
  <si>
    <t>Init</t>
  </si>
  <si>
    <t>DESCRIPTION</t>
  </si>
  <si>
    <t>Pre-paid card</t>
  </si>
  <si>
    <t>Evaluated Bank Amout</t>
  </si>
  <si>
    <t>Janaury INCOME</t>
  </si>
  <si>
    <t>February INCOME</t>
  </si>
  <si>
    <t>March INCOME</t>
  </si>
  <si>
    <t>April INCOME</t>
  </si>
  <si>
    <t>May INCOME</t>
  </si>
  <si>
    <t>June INCOME</t>
  </si>
  <si>
    <t>July INCOME</t>
  </si>
  <si>
    <t>August INCOME</t>
  </si>
  <si>
    <t>September INCOME</t>
  </si>
  <si>
    <t>January EXPENSES</t>
  </si>
  <si>
    <t>February EXPENSES</t>
  </si>
  <si>
    <t>March EXPENSES</t>
  </si>
  <si>
    <t>April EXPENSES</t>
  </si>
  <si>
    <t>June EXPENSES</t>
  </si>
  <si>
    <t>May EXPENSES</t>
  </si>
  <si>
    <t>July EXPENSES</t>
  </si>
  <si>
    <t>August EXPENSES</t>
  </si>
  <si>
    <t>September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</si>
</sst>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5" formatCode="#,##0.00\ [$€-1]"/>
  </numFmts>
  <fonts count="27" x14ac:knownFonts="1">
    <font>
      <sz val="11"/>
      <color theme="1" tint="0.34998626667073579"/>
      <name val="Arial"/>
      <family val="2"/>
      <scheme val="minor"/>
    </font>
    <font>
      <b/>
      <sz val="11"/>
      <color theme="1"/>
      <name val="Arial"/>
      <family val="2"/>
      <scheme val="minor"/>
    </font>
    <font>
      <sz val="24"/>
      <color theme="6"/>
      <name val="Arial Black"/>
      <family val="2"/>
      <scheme val="major"/>
    </font>
    <font>
      <b/>
      <sz val="56"/>
      <color theme="6"/>
      <name val="Arial Black"/>
      <family val="2"/>
      <scheme val="major"/>
    </font>
    <font>
      <sz val="11"/>
      <color theme="1" tint="0.34998626667073579"/>
      <name val="Arial"/>
      <family val="2"/>
      <scheme val="minor"/>
    </font>
    <font>
      <b/>
      <sz val="11"/>
      <color theme="4"/>
      <name val="Arial Black"/>
      <family val="2"/>
      <scheme val="major"/>
    </font>
    <font>
      <i/>
      <sz val="16"/>
      <color theme="1" tint="0.34998626667073579"/>
      <name val="Arial Black"/>
      <family val="2"/>
      <scheme val="major"/>
    </font>
    <font>
      <sz val="11"/>
      <color theme="4"/>
      <name val="Arial Black"/>
      <family val="2"/>
      <scheme val="major"/>
    </font>
    <font>
      <sz val="11"/>
      <color theme="5" tint="-0.24994659260841701"/>
      <name val="Arial Black"/>
      <family val="2"/>
      <scheme val="major"/>
    </font>
    <font>
      <u/>
      <sz val="11"/>
      <color theme="1" tint="0.34998626667073579"/>
      <name val="Arial"/>
      <family val="2"/>
      <scheme val="minor"/>
    </font>
    <font>
      <b/>
      <sz val="11"/>
      <color theme="5" tint="-0.24994659260841701"/>
      <name val="Arial Black"/>
      <family val="2"/>
      <scheme val="major"/>
    </font>
    <font>
      <b/>
      <sz val="11"/>
      <color theme="7" tint="-0.24994659260841701"/>
      <name val="Arial Black"/>
      <family val="2"/>
      <scheme val="major"/>
    </font>
    <font>
      <sz val="12"/>
      <color theme="1" tint="0.34998626667073579"/>
      <name val="Arial"/>
      <family val="2"/>
      <scheme val="minor"/>
    </font>
    <font>
      <sz val="22"/>
      <color theme="1" tint="0.34998626667073579"/>
      <name val="Arial"/>
      <family val="2"/>
      <scheme val="minor"/>
    </font>
    <font>
      <sz val="22"/>
      <color theme="6"/>
      <name val="Arial Black"/>
      <family val="2"/>
    </font>
    <font>
      <sz val="12"/>
      <color theme="6"/>
      <name val="Arial Black"/>
      <family val="2"/>
    </font>
    <font>
      <b/>
      <sz val="12"/>
      <color theme="1" tint="0.24994659260841701"/>
      <name val="Arial"/>
      <family val="2"/>
      <scheme val="minor"/>
    </font>
    <font>
      <sz val="12"/>
      <color theme="1" tint="0.24994659260841701"/>
      <name val="Arial"/>
      <family val="2"/>
      <scheme val="minor"/>
    </font>
    <font>
      <sz val="22"/>
      <color theme="6" tint="-0.24994659260841701"/>
      <name val="Arial Black"/>
      <family val="2"/>
      <scheme val="major"/>
    </font>
    <font>
      <sz val="11"/>
      <color theme="6" tint="-0.24994659260841701"/>
      <name val="Arial Black"/>
      <family val="2"/>
      <scheme val="major"/>
    </font>
    <font>
      <sz val="40"/>
      <color theme="6" tint="-0.24994659260841701"/>
      <name val="Arial Black"/>
      <family val="2"/>
      <scheme val="major"/>
    </font>
    <font>
      <sz val="11"/>
      <color theme="1" tint="0.34998626667073579"/>
      <name val="Arial Black"/>
      <family val="2"/>
      <scheme val="major"/>
    </font>
    <font>
      <b/>
      <sz val="11"/>
      <color theme="1" tint="0.34998626667073579"/>
      <name val="Arial"/>
      <family val="2"/>
      <scheme val="minor"/>
    </font>
    <font>
      <sz val="8"/>
      <name val="Arial"/>
      <family val="2"/>
      <scheme val="minor"/>
    </font>
    <font>
      <b/>
      <sz val="16"/>
      <color theme="1" tint="0.34998626667073579"/>
      <name val="Arial"/>
      <family val="2"/>
      <scheme val="minor"/>
    </font>
    <font>
      <sz val="12"/>
      <color rgb="FF00B050"/>
      <name val="Arial"/>
      <family val="2"/>
      <scheme val="minor"/>
    </font>
    <font>
      <sz val="12"/>
      <color rgb="FFC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>
      <alignment vertical="center" wrapText="1"/>
    </xf>
    <xf numFmtId="0" fontId="6" fillId="0" borderId="0" applyNumberFormat="0" applyFill="0" applyBorder="0" applyProtection="0">
      <alignment horizontal="left" vertical="top"/>
    </xf>
    <xf numFmtId="0" fontId="2" fillId="0" borderId="0" applyNumberFormat="0" applyFill="0" applyProtection="0">
      <alignment horizontal="left"/>
    </xf>
    <xf numFmtId="0" fontId="3" fillId="0" borderId="0" applyNumberFormat="0" applyFill="0" applyProtection="0">
      <alignment horizontal="left" vertical="center"/>
    </xf>
    <xf numFmtId="0" fontId="10" fillId="0" borderId="0" applyNumberFormat="0" applyFill="0" applyBorder="0" applyProtection="0">
      <alignment horizontal="right" vertical="center" indent="2"/>
    </xf>
    <xf numFmtId="0" fontId="5" fillId="0" borderId="0" applyNumberFormat="0" applyFill="0" applyBorder="0" applyProtection="0">
      <alignment horizontal="right" vertical="center" indent="2"/>
    </xf>
    <xf numFmtId="0" fontId="1" fillId="0" borderId="0" applyNumberFormat="0" applyFill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Protection="0">
      <alignment horizontal="right" vertical="center" indent="2"/>
    </xf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1" applyNumberFormat="0" applyFont="0" applyAlignment="0" applyProtection="0"/>
    <xf numFmtId="0" fontId="8" fillId="0" borderId="0" applyNumberFormat="0" applyFill="0" applyBorder="0">
      <alignment horizontal="right" vertical="center" indent="2"/>
    </xf>
    <xf numFmtId="0" fontId="11" fillId="0" borderId="0" applyNumberFormat="0" applyFill="0" applyBorder="0">
      <alignment horizontal="right" vertical="center" indent="2"/>
    </xf>
    <xf numFmtId="0" fontId="4" fillId="0" borderId="0" applyNumberFormat="0" applyFill="0" applyBorder="0" applyProtection="0">
      <alignment vertical="center" wrapText="1"/>
    </xf>
    <xf numFmtId="0" fontId="9" fillId="0" borderId="0" applyNumberFormat="0" applyFill="0" applyBorder="0" applyProtection="0">
      <alignment vertical="center" wrapText="1"/>
    </xf>
    <xf numFmtId="164" fontId="7" fillId="0" borderId="0" applyFill="0" applyBorder="0">
      <alignment horizontal="right" vertical="center" indent="2"/>
    </xf>
  </cellStyleXfs>
  <cellXfs count="55">
    <xf numFmtId="0" fontId="0" fillId="0" borderId="0" xfId="0">
      <alignment vertical="center" wrapText="1"/>
    </xf>
    <xf numFmtId="0" fontId="0" fillId="0" borderId="0" xfId="0" applyAlignment="1">
      <alignment horizontal="right" indent="2"/>
    </xf>
    <xf numFmtId="0" fontId="0" fillId="3" borderId="0" xfId="0" applyFill="1">
      <alignment vertical="center" wrapText="1"/>
    </xf>
    <xf numFmtId="0" fontId="0" fillId="3" borderId="0" xfId="0" applyFill="1" applyAlignment="1">
      <alignment horizontal="right" indent="2"/>
    </xf>
    <xf numFmtId="164" fontId="0" fillId="3" borderId="0" xfId="9" applyFont="1" applyFill="1">
      <alignment horizontal="right" vertical="center" indent="2"/>
    </xf>
    <xf numFmtId="0" fontId="0" fillId="0" borderId="0" xfId="0" applyAlignment="1">
      <alignment horizontal="left" vertical="center" wrapText="1" indent="2"/>
    </xf>
    <xf numFmtId="0" fontId="0" fillId="3" borderId="0" xfId="0" applyFill="1" applyAlignment="1">
      <alignment horizontal="left" vertical="center" wrapText="1" indent="2"/>
    </xf>
    <xf numFmtId="0" fontId="12" fillId="3" borderId="0" xfId="0" applyFont="1" applyFill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2"/>
    </xf>
    <xf numFmtId="17" fontId="15" fillId="3" borderId="0" xfId="2" applyNumberFormat="1" applyFont="1" applyFill="1" applyAlignment="1">
      <alignment horizontal="left" vertical="center" indent="2"/>
    </xf>
    <xf numFmtId="0" fontId="14" fillId="3" borderId="0" xfId="0" applyFont="1" applyFill="1" applyAlignment="1">
      <alignment horizontal="right" vertical="center" indent="2"/>
    </xf>
    <xf numFmtId="0" fontId="13" fillId="3" borderId="0" xfId="0" applyFont="1" applyFill="1" applyAlignment="1">
      <alignment vertical="top"/>
    </xf>
    <xf numFmtId="0" fontId="16" fillId="3" borderId="2" xfId="4" applyFont="1" applyFill="1" applyBorder="1">
      <alignment horizontal="right" vertical="center" indent="2"/>
    </xf>
    <xf numFmtId="0" fontId="17" fillId="3" borderId="0" xfId="0" applyFont="1" applyFill="1" applyAlignment="1">
      <alignment horizontal="left" vertical="center" wrapText="1" indent="2"/>
    </xf>
    <xf numFmtId="0" fontId="16" fillId="3" borderId="0" xfId="13" applyFont="1" applyFill="1" applyBorder="1">
      <alignment horizontal="right" vertical="center" indent="2"/>
    </xf>
    <xf numFmtId="0" fontId="13" fillId="3" borderId="0" xfId="1" applyFont="1" applyFill="1" applyAlignment="1">
      <alignment horizontal="left" vertical="top" indent="2"/>
    </xf>
    <xf numFmtId="0" fontId="16" fillId="3" borderId="2" xfId="0" applyFont="1" applyFill="1" applyBorder="1" applyAlignment="1">
      <alignment horizontal="left" vertical="center" wrapText="1" indent="2"/>
    </xf>
    <xf numFmtId="0" fontId="16" fillId="3" borderId="0" xfId="0" applyFont="1" applyFill="1" applyAlignment="1">
      <alignment horizontal="left" vertical="center" indent="2"/>
    </xf>
    <xf numFmtId="0" fontId="16" fillId="3" borderId="0" xfId="0" applyFont="1" applyFill="1" applyAlignment="1">
      <alignment horizontal="left" vertical="center" wrapText="1" indent="2"/>
    </xf>
    <xf numFmtId="164" fontId="0" fillId="3" borderId="4" xfId="9" applyFont="1" applyFill="1" applyBorder="1">
      <alignment horizontal="right" vertical="center" indent="2"/>
    </xf>
    <xf numFmtId="0" fontId="0" fillId="3" borderId="4" xfId="0" applyFill="1" applyBorder="1">
      <alignment vertical="center" wrapText="1"/>
    </xf>
    <xf numFmtId="17" fontId="18" fillId="3" borderId="3" xfId="2" applyNumberFormat="1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24" fillId="3" borderId="0" xfId="0" applyFont="1" applyFill="1" applyAlignment="1">
      <alignment horizontal="left" vertical="center" wrapText="1" indent="2"/>
    </xf>
    <xf numFmtId="0" fontId="22" fillId="0" borderId="0" xfId="0" applyFont="1">
      <alignment vertical="center" wrapText="1"/>
    </xf>
    <xf numFmtId="0" fontId="25" fillId="3" borderId="0" xfId="0" applyFont="1" applyFill="1" applyAlignment="1">
      <alignment horizontal="left" vertical="center" indent="2"/>
    </xf>
    <xf numFmtId="0" fontId="26" fillId="3" borderId="0" xfId="0" applyFont="1" applyFill="1" applyAlignment="1">
      <alignment horizontal="left" vertical="center" indent="2"/>
    </xf>
    <xf numFmtId="16" fontId="0" fillId="0" borderId="0" xfId="0" applyNumberFormat="1">
      <alignment vertical="center" wrapText="1"/>
    </xf>
    <xf numFmtId="0" fontId="22" fillId="4" borderId="0" xfId="0" applyFont="1" applyFill="1" applyAlignment="1">
      <alignment horizontal="center" vertical="center" wrapText="1"/>
    </xf>
    <xf numFmtId="165" fontId="0" fillId="0" borderId="0" xfId="0" applyNumberFormat="1">
      <alignment vertical="center" wrapText="1"/>
    </xf>
    <xf numFmtId="165" fontId="17" fillId="0" borderId="0" xfId="0" applyNumberFormat="1" applyFont="1" applyAlignment="1">
      <alignment horizontal="left" vertical="center" indent="2"/>
    </xf>
    <xf numFmtId="165" fontId="17" fillId="0" borderId="0" xfId="9" applyNumberFormat="1" applyFont="1" applyFill="1" applyBorder="1">
      <alignment horizontal="right" vertical="center" indent="2"/>
    </xf>
    <xf numFmtId="165" fontId="17" fillId="3" borderId="0" xfId="0" applyNumberFormat="1" applyFont="1" applyFill="1" applyAlignment="1">
      <alignment horizontal="left" vertical="center" indent="2"/>
    </xf>
    <xf numFmtId="165" fontId="16" fillId="3" borderId="0" xfId="0" applyNumberFormat="1" applyFont="1" applyFill="1" applyAlignment="1">
      <alignment horizontal="left" vertical="center" indent="2"/>
    </xf>
    <xf numFmtId="165" fontId="16" fillId="3" borderId="0" xfId="0" applyNumberFormat="1" applyFont="1" applyFill="1" applyAlignment="1">
      <alignment horizontal="right" vertical="center" indent="2"/>
    </xf>
    <xf numFmtId="165" fontId="12" fillId="3" borderId="0" xfId="0" applyNumberFormat="1" applyFont="1" applyFill="1" applyAlignment="1">
      <alignment horizontal="left" vertical="center" wrapText="1" indent="2"/>
    </xf>
    <xf numFmtId="165" fontId="0" fillId="3" borderId="0" xfId="0" applyNumberFormat="1" applyFill="1" applyAlignment="1">
      <alignment horizontal="right" indent="2"/>
    </xf>
    <xf numFmtId="165" fontId="12" fillId="0" borderId="0" xfId="0" applyNumberFormat="1" applyFont="1" applyAlignment="1">
      <alignment horizontal="left" vertical="center" wrapText="1" indent="2"/>
    </xf>
    <xf numFmtId="165" fontId="0" fillId="0" borderId="0" xfId="0" applyNumberFormat="1" applyAlignment="1">
      <alignment horizontal="right" indent="2"/>
    </xf>
    <xf numFmtId="165" fontId="15" fillId="3" borderId="0" xfId="2" applyNumberFormat="1" applyFont="1" applyFill="1" applyAlignment="1">
      <alignment horizontal="left" vertical="center" indent="2"/>
    </xf>
    <xf numFmtId="165" fontId="14" fillId="3" borderId="0" xfId="0" applyNumberFormat="1" applyFont="1" applyFill="1" applyAlignment="1">
      <alignment horizontal="right" vertical="center" indent="2"/>
    </xf>
    <xf numFmtId="165" fontId="16" fillId="3" borderId="0" xfId="13" applyNumberFormat="1" applyFont="1" applyFill="1" applyBorder="1">
      <alignment horizontal="right" vertical="center" indent="2"/>
    </xf>
    <xf numFmtId="165" fontId="24" fillId="3" borderId="0" xfId="0" applyNumberFormat="1" applyFont="1" applyFill="1">
      <alignment vertical="center" wrapText="1"/>
    </xf>
    <xf numFmtId="165" fontId="0" fillId="3" borderId="0" xfId="0" applyNumberFormat="1" applyFill="1">
      <alignment vertical="center" wrapText="1"/>
    </xf>
    <xf numFmtId="165" fontId="18" fillId="3" borderId="3" xfId="0" applyNumberFormat="1" applyFont="1" applyFill="1" applyBorder="1" applyAlignment="1">
      <alignment vertical="center"/>
    </xf>
    <xf numFmtId="165" fontId="16" fillId="3" borderId="0" xfId="4" applyNumberFormat="1" applyFont="1" applyFill="1" applyBorder="1">
      <alignment horizontal="right" vertical="center" indent="2"/>
    </xf>
    <xf numFmtId="165" fontId="17" fillId="3" borderId="0" xfId="9" applyNumberFormat="1" applyFont="1" applyFill="1" applyBorder="1">
      <alignment horizontal="right" vertical="center" indent="2"/>
    </xf>
    <xf numFmtId="165" fontId="17" fillId="3" borderId="0" xfId="13" applyNumberFormat="1" applyFont="1" applyFill="1" applyBorder="1">
      <alignment horizontal="right" vertical="center" indent="2"/>
    </xf>
    <xf numFmtId="165" fontId="16" fillId="3" borderId="0" xfId="9" applyNumberFormat="1" applyFont="1" applyFill="1" applyBorder="1">
      <alignment horizontal="right" vertical="center" indent="2"/>
    </xf>
    <xf numFmtId="17" fontId="20" fillId="3" borderId="0" xfId="2" applyNumberFormat="1" applyFont="1" applyFill="1" applyAlignment="1">
      <alignment horizontal="left" indent="2"/>
    </xf>
    <xf numFmtId="0" fontId="19" fillId="3" borderId="0" xfId="0" applyFont="1" applyFill="1" applyAlignment="1">
      <alignment horizontal="left" indent="2"/>
    </xf>
    <xf numFmtId="0" fontId="20" fillId="3" borderId="0" xfId="0" applyFont="1" applyFill="1" applyAlignment="1">
      <alignment horizontal="right" indent="2"/>
    </xf>
    <xf numFmtId="0" fontId="21" fillId="3" borderId="0" xfId="0" applyFont="1" applyFill="1" applyAlignment="1">
      <alignment horizontal="right" indent="2"/>
    </xf>
    <xf numFmtId="17" fontId="18" fillId="3" borderId="3" xfId="2" applyNumberFormat="1" applyFont="1" applyFill="1" applyBorder="1" applyAlignment="1">
      <alignment horizontal="center" vertical="center"/>
    </xf>
    <xf numFmtId="165" fontId="18" fillId="3" borderId="3" xfId="2" applyNumberFormat="1" applyFont="1" applyFill="1" applyBorder="1" applyAlignment="1">
      <alignment horizontal="center" vertical="center"/>
    </xf>
  </cellXfs>
  <cellStyles count="18">
    <cellStyle name="Actual" xfId="13" xr:uid="{00000000-0005-0000-0000-000000000000}"/>
    <cellStyle name="Comma" xfId="7" builtinId="3" customBuiltin="1"/>
    <cellStyle name="Comma [0]" xfId="8" builtinId="6" customBuiltin="1"/>
    <cellStyle name="Currency" xfId="9" builtinId="4" customBuiltin="1"/>
    <cellStyle name="Currency [0]" xfId="10" builtinId="7" customBuiltin="1"/>
    <cellStyle name="Followed Hyperlink" xfId="16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5" builtinId="8" customBuiltin="1"/>
    <cellStyle name="Normal" xfId="0" builtinId="0" customBuiltin="1"/>
    <cellStyle name="Note" xfId="12" builtinId="10" customBuiltin="1"/>
    <cellStyle name="Percent" xfId="11" builtinId="5" customBuiltin="1"/>
    <cellStyle name="Projected" xfId="17" xr:uid="{00000000-0005-0000-0000-00000E000000}"/>
    <cellStyle name="Title" xfId="1" builtinId="15" customBuiltin="1"/>
    <cellStyle name="Total" xfId="6" builtinId="25" customBuiltin="1"/>
    <cellStyle name="Variance heading" xfId="14" xr:uid="{00000000-0005-0000-0000-000011000000}"/>
  </cellStyles>
  <dxfs count="18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6" formatCode="[$€-2]\ #,##0"/>
      <fill>
        <patternFill patternType="solid">
          <fgColor indexed="64"/>
          <bgColor theme="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textRotation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color theme="1" tint="0.2499465926084170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</dxfs>
  <tableStyles count="1" defaultTableStyle="Monthly Family Budget" defaultPivotStyle="PivotStyleLight16">
    <tableStyle name="Monthly Family Budget" pivot="0" count="1" xr9:uid="{00000000-0011-0000-FFFF-FFFF00000000}">
      <tableStyleElement type="wholeTable" dxfId="1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16024908914837"/>
          <c:y val="0.1702132503050636"/>
          <c:w val="0.86007165436409405"/>
          <c:h val="0.6607022669414994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589480"/>
        <c:axId val="3505890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'Cash flow'!$D$8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'Cash flow'!$C$9:$C$10</c15:sqref>
                        </c15:formulaRef>
                      </c:ext>
                    </c:extLst>
                    <c:strCache>
                      <c:ptCount val="2"/>
                      <c:pt idx="0">
                        <c:v>Total income</c:v>
                      </c:pt>
                      <c:pt idx="1">
                        <c:v>Total expenses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'Cash flow'!$D$9:$D$10</c15:sqref>
                        </c15:formulaRef>
                      </c:ext>
                    </c:extLst>
                    <c:numCache>
                      <c:formatCode>#,##0.00\ [$€-1]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115-436B-8524-6C47A7BD125E}"/>
                  </c:ext>
                </c:extLst>
              </c15:ser>
            </c15:filteredBarSeries>
          </c:ext>
        </c:extLst>
      </c:barChart>
      <c:catAx>
        <c:axId val="35058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589088"/>
        <c:crosses val="autoZero"/>
        <c:auto val="1"/>
        <c:lblAlgn val="ctr"/>
        <c:lblOffset val="100"/>
        <c:noMultiLvlLbl val="0"/>
      </c:catAx>
      <c:valAx>
        <c:axId val="3505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[$€-2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58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945958728635863"/>
          <c:y val="2.0005781952114509E-2"/>
          <c:w val="0.23553458387473691"/>
          <c:h val="8.8608486439195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expenses'!$C$3:$D$3</c:f>
              <c:strCache>
                <c:ptCount val="1"/>
                <c:pt idx="0">
                  <c:v>Yearly 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('Yearly expenses'!$D$42,'Yearly expenses'!$D$63,'Yearly expenses'!$D$84,'Yearly expenses'!$D$105,'Yearly expenses'!$D$126,'Yearly expenses'!$D$147,'Yearly expenses'!$D$168,'Yearly expenses'!$D$189,'Yearly expenses'!$D$210,'Yearly expenses'!$D$231,'Yearly expenses'!$D$252,'Yearly expenses'!$D$273)</c:f>
              <c:numCache>
                <c:formatCode>#,##0.00\ [$€-1]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E-46CC-909B-3BD26E50193C}"/>
            </c:ext>
          </c:extLst>
        </c:ser>
        <c:ser>
          <c:idx val="1"/>
          <c:order val="1"/>
          <c:tx>
            <c:strRef>
              <c:f>'Yearly income'!$C$10</c:f>
              <c:strCache>
                <c:ptCount val="1"/>
                <c:pt idx="0">
                  <c:v>Yearly INCOME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('Yearly income'!$D$27,'Yearly income'!$D$38,'Yearly income'!$D$49,'Yearly income'!$D$60,'Yearly income'!$D$71,'Yearly income'!$D$82,'Yearly income'!$D$93,'Yearly income'!$D$104,'Yearly income'!$D$115,'Yearly income'!$D$126,'Yearly income'!$D$137,'Yearly income'!$D$148)</c:f>
              <c:numCache>
                <c:formatCode>#,##0.00\ [$€-1]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E-46CC-909B-3BD26E501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71183"/>
        <c:axId val="102171663"/>
      </c:lineChart>
      <c:catAx>
        <c:axId val="10217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1663"/>
        <c:crosses val="autoZero"/>
        <c:auto val="1"/>
        <c:lblAlgn val="ctr"/>
        <c:lblOffset val="100"/>
        <c:noMultiLvlLbl val="0"/>
      </c:catAx>
      <c:valAx>
        <c:axId val="1021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€-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Delta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('Cash flow'!$D$21,'Cash flow'!$D$22,'Cash flow'!$D$23,'Cash flow'!$D$24,'Cash flow'!$D$25,'Cash flow'!$D$26,'Cash flow'!$D$27,'Cash flow'!$D$28,'Cash flow'!$D$29,'Cash flow'!$D$30,'Cash flow'!$D$31,'Cash flow'!$D$32)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61-4A0F-A40F-876E78C4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251327"/>
        <c:axId val="858261887"/>
      </c:lineChart>
      <c:catAx>
        <c:axId val="85825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61887"/>
        <c:crosses val="autoZero"/>
        <c:auto val="1"/>
        <c:lblAlgn val="ctr"/>
        <c:lblOffset val="100"/>
        <c:noMultiLvlLbl val="0"/>
      </c:catAx>
      <c:valAx>
        <c:axId val="85826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5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D9-4642-A29C-B9F6D10536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D9-4642-A29C-B9F6D10536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D9-4642-A29C-B9F6D10536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D9-4642-A29C-B9F6D10536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689-4806-AB7D-40274D5776FD}"/>
              </c:ext>
            </c:extLst>
          </c:dPt>
          <c:cat>
            <c:strRef>
              <c:f>'Yearly income'!$C$11:$C$15</c:f>
              <c:strCache>
                <c:ptCount val="5"/>
                <c:pt idx="0">
                  <c:v>PoliMi</c:v>
                </c:pt>
                <c:pt idx="1">
                  <c:v>Deddo</c:v>
                </c:pt>
                <c:pt idx="2">
                  <c:v>Other income</c:v>
                </c:pt>
                <c:pt idx="3">
                  <c:v>Cash</c:v>
                </c:pt>
                <c:pt idx="4">
                  <c:v>Init</c:v>
                </c:pt>
              </c:strCache>
            </c:strRef>
          </c:cat>
          <c:val>
            <c:numRef>
              <c:f>'Yearly income'!$D$11:$D$15</c:f>
              <c:numCache>
                <c:formatCode>#,##0.00\ [$€-1]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9-4E53-81A2-09FD99685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expenses'!$D$5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expenses'!$C$6:$C$19</c:f>
              <c:strCache>
                <c:ptCount val="14"/>
                <c:pt idx="0">
                  <c:v>Restaurants</c:v>
                </c:pt>
                <c:pt idx="1">
                  <c:v>Groceries</c:v>
                </c:pt>
                <c:pt idx="2">
                  <c:v>Pre-paid card</c:v>
                </c:pt>
                <c:pt idx="3">
                  <c:v>Going out</c:v>
                </c:pt>
                <c:pt idx="4">
                  <c:v>Claudia</c:v>
                </c:pt>
                <c:pt idx="5">
                  <c:v>Family</c:v>
                </c:pt>
                <c:pt idx="6">
                  <c:v>Shopping</c:v>
                </c:pt>
                <c:pt idx="7">
                  <c:v>Transportation</c:v>
                </c:pt>
                <c:pt idx="8">
                  <c:v>Personal care</c:v>
                </c:pt>
                <c:pt idx="9">
                  <c:v>Credit cards</c:v>
                </c:pt>
                <c:pt idx="10">
                  <c:v>Gifts / Charity</c:v>
                </c:pt>
                <c:pt idx="11">
                  <c:v>Travel</c:v>
                </c:pt>
                <c:pt idx="12">
                  <c:v>Savings</c:v>
                </c:pt>
                <c:pt idx="13">
                  <c:v>Other</c:v>
                </c:pt>
              </c:strCache>
            </c:strRef>
          </c:cat>
          <c:val>
            <c:numRef>
              <c:f>'Yearly expenses'!$D$6:$D$19</c:f>
              <c:numCache>
                <c:formatCode>#,##0.00\ [$€-1]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7-4D5A-80A2-8DF06289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658959"/>
        <c:axId val="1793642639"/>
      </c:barChart>
      <c:catAx>
        <c:axId val="179365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642639"/>
        <c:crosses val="autoZero"/>
        <c:auto val="1"/>
        <c:lblAlgn val="ctr"/>
        <c:lblOffset val="100"/>
        <c:noMultiLvlLbl val="0"/>
      </c:catAx>
      <c:valAx>
        <c:axId val="17936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€-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65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19049</xdr:colOff>
      <xdr:row>13</xdr:row>
      <xdr:rowOff>0</xdr:rowOff>
    </xdr:from>
    <xdr:ext cx="6376867" cy="3514384"/>
    <xdr:graphicFrame macro="">
      <xdr:nvGraphicFramePr>
        <xdr:cNvPr id="2" name="Chart 1" descr="Clustered column chart showing projected and actual values for Total Income, Total Expenses, and Total Cash">
          <a:extLst>
            <a:ext uri="{FF2B5EF4-FFF2-40B4-BE49-F238E27FC236}">
              <a16:creationId xmlns:a16="http://schemas.microsoft.com/office/drawing/2014/main" id="{238BE371-311E-47B9-97E0-D2EACEC3D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</xdr:col>
      <xdr:colOff>70827</xdr:colOff>
      <xdr:row>4</xdr:row>
      <xdr:rowOff>187406</xdr:rowOff>
    </xdr:from>
    <xdr:to>
      <xdr:col>5</xdr:col>
      <xdr:colOff>1115322</xdr:colOff>
      <xdr:row>5</xdr:row>
      <xdr:rowOff>1489808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D914C6-8E90-EBC5-D967-2479786BD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84044</xdr:colOff>
      <xdr:row>5</xdr:row>
      <xdr:rowOff>1671544</xdr:rowOff>
    </xdr:from>
    <xdr:to>
      <xdr:col>5</xdr:col>
      <xdr:colOff>1101912</xdr:colOff>
      <xdr:row>6</xdr:row>
      <xdr:rowOff>326838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AF195D-F9B5-34C0-CF61-460F30371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59038</xdr:colOff>
      <xdr:row>1</xdr:row>
      <xdr:rowOff>109237</xdr:rowOff>
    </xdr:from>
    <xdr:to>
      <xdr:col>5</xdr:col>
      <xdr:colOff>562659</xdr:colOff>
      <xdr:row>8</xdr:row>
      <xdr:rowOff>300337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0D9D6-7D3A-A6DC-50A5-3E6697B54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324098</xdr:colOff>
      <xdr:row>4</xdr:row>
      <xdr:rowOff>199405</xdr:rowOff>
    </xdr:from>
    <xdr:to>
      <xdr:col>24</xdr:col>
      <xdr:colOff>503052</xdr:colOff>
      <xdr:row>20</xdr:row>
      <xdr:rowOff>288636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FCF89-1548-06FA-1312-35A3EA355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ashFlow" displayName="CashFlow" ref="C8:D11" totalsRowCount="1" headerRowDxfId="181" dataDxfId="180" totalsRowDxfId="179">
  <autoFilter ref="C8:D10" xr:uid="{00000000-0009-0000-0100-000002000000}"/>
  <tableColumns count="2">
    <tableColumn id="1" xr3:uid="{00000000-0010-0000-0000-000001000000}" name="Cash Flow" totalsRowLabel="Evaluated Bank Amout" dataDxfId="178" totalsRowDxfId="177"/>
    <tableColumn id="3" xr3:uid="{00000000-0010-0000-0000-000003000000}" name="Actual" totalsRowFunction="custom" dataDxfId="176" totalsRowDxfId="175" totalsRowCellStyle="Currency">
      <totalsRowFormula>D9-D10</totalsRow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Projected, Actual, and Variance Cash Flow for Total Income, Total Expenses &amp; Total Cash are automatically updated based on entries in Monthly Income and Monthly Expenses Worksheet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Income" displayName="Income" ref="C22:D27" totalsRowCount="1" headerRowDxfId="174" dataDxfId="173" totalsRowDxfId="172">
  <autoFilter ref="C22:D26" xr:uid="{00000000-0009-0000-0100-000005000000}"/>
  <tableColumns count="2">
    <tableColumn id="1" xr3:uid="{00000000-0010-0000-0100-000001000000}" name="Monthly Income" totalsRowLabel="Total Income" dataDxfId="171" totalsRowDxfId="170"/>
    <tableColumn id="3" xr3:uid="{00000000-0010-0000-0100-000003000000}" name="Actual" totalsRowFunction="sum" dataDxfId="169" totalsRowDxfId="168" dataCellStyle="Currency">
      <calculatedColumnFormula>SUMIFS('List Income'!$C$3:$C$100000,
        'List Income'!$B$3:$B$100000, 'Yearly income'!$C11,
        'List Income'!$A$3:$A$100000, "&gt;=" &amp; DATE('Cash flow'!$E$3, 1, 1),
        'List Income'!$A$3:$A$100000, "&lt;"  &amp; DATE('Cash flow'!$E$3, 2,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F399855-3BFE-48F4-9D56-F7B0B018C8AF}" name="Income18" displayName="Income18" ref="C33:D38" totalsRowCount="1" headerRowDxfId="167" dataDxfId="166" totalsRowDxfId="165">
  <autoFilter ref="C33:D37" xr:uid="{CF399855-3BFE-48F4-9D56-F7B0B018C8AF}"/>
  <tableColumns count="2">
    <tableColumn id="1" xr3:uid="{46C1B9BE-3481-409B-9690-DB61A39E83A0}" name="Monthly Income" totalsRowLabel="Total Income" dataDxfId="164" totalsRowDxfId="163"/>
    <tableColumn id="3" xr3:uid="{36916EC0-3E71-44F0-BE74-D55AF2EE4462}" name="Actual" totalsRowFunction="sum" dataDxfId="162" totalsRowDxfId="161" dataCellStyle="Currency">
      <calculatedColumnFormula>SUMIFS('List Income'!$C$3:$C$100000,
        'List Income'!$B$3:$B$100000, 'Yearly income'!$C11,
        'List Income'!$A$3:$A$100000, "&gt;=" &amp; DATE('Cash flow'!$E$3, 2, 1),
        'List Income'!$A$3:$A$100000, "&lt;"  &amp; DATE('Cash flow'!$E$3, 3,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E5F7A0F-BB62-496F-99BB-D34619118D61}" name="Income19" displayName="Income19" ref="C44:D49" totalsRowCount="1" headerRowDxfId="160" dataDxfId="159" totalsRowDxfId="158">
  <autoFilter ref="C44:D48" xr:uid="{CE5F7A0F-BB62-496F-99BB-D34619118D61}"/>
  <tableColumns count="2">
    <tableColumn id="1" xr3:uid="{D01CDD62-41DF-4CC2-8E6A-7DA8C483D4DF}" name="Monthly Income" totalsRowLabel="Total Income" dataDxfId="157" totalsRowDxfId="156"/>
    <tableColumn id="3" xr3:uid="{8078B1E2-533C-4EE1-85B1-A3174F679BFA}" name="Actual" totalsRowFunction="sum" dataDxfId="155" totalsRowDxfId="154" dataCellStyle="Currency">
      <calculatedColumnFormula>SUMIFS('List Income'!$C$3:$C$100000,
        'List Income'!$B$3:$B$100000, 'Yearly income'!$C11,
        'List Income'!$A$3:$A$100000, "&gt;=" &amp; DATE('Cash flow'!$E$3, 3, 1),
        'List Income'!$A$3:$A$100000, "&lt;"  &amp; DATE('Cash flow'!$E$3, 4,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2AACA1-672C-41B7-A83D-02386A2D64D3}" name="Income197" displayName="Income197" ref="C55:D60" totalsRowCount="1" headerRowDxfId="153" dataDxfId="152" totalsRowDxfId="151">
  <autoFilter ref="C55:D59" xr:uid="{A22AACA1-672C-41B7-A83D-02386A2D64D3}"/>
  <tableColumns count="2">
    <tableColumn id="1" xr3:uid="{E16CCB32-9E94-4EE7-A52B-F4E6CC099844}" name="Monthly Income" totalsRowLabel="Total Income" dataDxfId="150" totalsRowDxfId="149"/>
    <tableColumn id="3" xr3:uid="{77BD811A-FC93-4835-B94C-5D3EE01A05BE}" name="Actual" totalsRowFunction="sum" dataDxfId="148" totalsRowDxfId="147" dataCellStyle="Currency">
      <calculatedColumnFormula>SUMIFS('List Income'!$C$3:$C$100000,
        'List Income'!$B$3:$B$100000, 'Yearly income'!$C22,
        'List Income'!$A$3:$A$100000, "&gt;=" &amp; DATE('Cash flow'!$E$3, 4, 1),
        'List Income'!$A$3:$A$100000, "&lt;"  &amp; DATE('Cash flow'!$E$3, 5,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DAE835-1B53-4719-8676-268127201C36}" name="Income1978" displayName="Income1978" ref="C66:D71" totalsRowCount="1" headerRowDxfId="146" dataDxfId="145" totalsRowDxfId="144">
  <autoFilter ref="C66:D70" xr:uid="{EBDAE835-1B53-4719-8676-268127201C36}"/>
  <tableColumns count="2">
    <tableColumn id="1" xr3:uid="{5207AC5D-3FC2-4187-95B1-A1E4ACB3E67C}" name="Monthly Income" totalsRowLabel="Total Income" dataDxfId="143" totalsRowDxfId="142"/>
    <tableColumn id="3" xr3:uid="{FD0E39EF-7BAF-4897-915F-5CB029345DC3}" name="Actual" totalsRowFunction="sum" dataDxfId="141" totalsRowDxfId="140" dataCellStyle="Currency">
      <calculatedColumnFormula>SUMIFS('List Income'!$C$3:$C$100000,
        'List Income'!$B$3:$B$100000, 'Yearly income'!$C33,
        'List Income'!$A$3:$A$100000, "&gt;=" &amp; DATE('Cash flow'!$E$3, 5, 1),
        'List Income'!$A$3:$A$100000, "&lt;"  &amp; DATE('Cash flow'!$E$3, 6,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D785EF-C42A-4869-B1EC-0D4B8D7DD358}" name="Income1979" displayName="Income1979" ref="C77:D82" totalsRowCount="1" headerRowDxfId="139" dataDxfId="138" totalsRowDxfId="137">
  <autoFilter ref="C77:D81" xr:uid="{51D785EF-C42A-4869-B1EC-0D4B8D7DD358}"/>
  <tableColumns count="2">
    <tableColumn id="1" xr3:uid="{6417A6DB-1481-4694-A170-55FD2DBC1DBB}" name="Monthly Income" totalsRowLabel="Total Income" dataDxfId="136" totalsRowDxfId="135"/>
    <tableColumn id="3" xr3:uid="{8C772D03-2297-4CE0-8B2B-BFB10CBE7678}" name="Actual" totalsRowFunction="sum" dataDxfId="134" totalsRowDxfId="133" dataCellStyle="Currency">
      <calculatedColumnFormula>SUMIFS('List Income'!$C$3:$C$100000,
        'List Income'!$B$3:$B$100000, 'Yearly income'!$C44,
        'List Income'!$A$3:$A$100000, "&gt;=" &amp; DATE('Cash flow'!$E$3, 6, 1),
        'List Income'!$A$3:$A$100000, "&lt;"  &amp; DATE('Cash flow'!$E$3, 7,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B9FCC2-C79B-4817-B585-E792B83086A1}" name="Income19711" displayName="Income19711" ref="C88:D93" totalsRowCount="1" headerRowDxfId="132" dataDxfId="131" totalsRowDxfId="130">
  <autoFilter ref="C88:D92" xr:uid="{25B9FCC2-C79B-4817-B585-E792B83086A1}"/>
  <tableColumns count="2">
    <tableColumn id="1" xr3:uid="{0509E437-7AB7-4745-BEE4-72AE8AB47D63}" name="Monthly Income" totalsRowLabel="Total Income" dataDxfId="129" totalsRowDxfId="128"/>
    <tableColumn id="3" xr3:uid="{1D24B95C-FCC0-49D4-9EAB-81FCEE5F16CE}" name="Actual" totalsRowFunction="sum" dataDxfId="127" totalsRowDxfId="126" dataCellStyle="Currency">
      <calculatedColumnFormula>SUMIFS('List Income'!$C$3:$C$100000,
        'List Income'!$B$3:$B$100000, 'Yearly income'!$C55,
        'List Income'!$A$3:$A$100000, "&gt;=" &amp; DATE('Cash flow'!$E$3, 7, 1),
        'List Income'!$A$3:$A$100000, "&lt;"  &amp; DATE('Cash flow'!$E$3, 8,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722966-794F-431E-9214-5908DFA77AA2}" name="Income19712" displayName="Income19712" ref="C99:D104" totalsRowCount="1" headerRowDxfId="125" dataDxfId="124" totalsRowDxfId="123">
  <autoFilter ref="C99:D103" xr:uid="{4B722966-794F-431E-9214-5908DFA77AA2}"/>
  <tableColumns count="2">
    <tableColumn id="1" xr3:uid="{363F4D7B-50E7-4B40-AD49-34919CC64E7D}" name="Monthly Income" totalsRowLabel="Total Income" dataDxfId="122" totalsRowDxfId="121"/>
    <tableColumn id="3" xr3:uid="{93B0A37B-29D0-421F-8867-F7676E4D0380}" name="Actual" totalsRowFunction="sum" dataDxfId="120" totalsRowDxfId="119" dataCellStyle="Currency">
      <calculatedColumnFormula>SUMIFS('List Income'!$C$3:$C$100000,
        'List Income'!$B$3:$B$100000, 'Yearly income'!$C66,
        'List Income'!$A$3:$A$100000, "&gt;=" &amp; DATE('Cash flow'!$E$3, 8, 1),
        'List Income'!$A$3:$A$100000, "&lt;"  &amp; DATE('Cash flow'!$E$3, 9,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3FCDF5-2E6E-4BB8-8CA3-A8E17994BC85}" name="Income19713" displayName="Income19713" ref="C110:D115" totalsRowCount="1" headerRowDxfId="118" dataDxfId="117" totalsRowDxfId="116">
  <autoFilter ref="C110:D114" xr:uid="{523FCDF5-2E6E-4BB8-8CA3-A8E17994BC85}"/>
  <tableColumns count="2">
    <tableColumn id="1" xr3:uid="{F0ECBCF7-8640-4A63-9D2F-43EA46E2EABF}" name="Monthly Income" totalsRowLabel="Total Income" dataDxfId="115" totalsRowDxfId="114"/>
    <tableColumn id="3" xr3:uid="{973CD3AC-14E0-4DE7-9F0B-E67DEEBA05A0}" name="Actual" totalsRowFunction="sum" dataDxfId="113" totalsRowDxfId="112" dataCellStyle="Currency">
      <calculatedColumnFormula>SUMIFS('List Income'!$C$3:$C$100000,
        'List Income'!$B$3:$B$100000, 'Yearly income'!$C77,
        'List Income'!$A$3:$A$100000, "&gt;=" &amp; DATE('Cash flow'!$E$3, 9, 1),
        'List Income'!$A$3:$A$100000, "&lt;"  &amp; DATE('Cash flow'!$E$3, 10,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A96A48-E32D-4A3C-8F07-9507D89A6DDB}" name="Income19714" displayName="Income19714" ref="C121:D126" totalsRowCount="1" headerRowDxfId="111" dataDxfId="110" totalsRowDxfId="109">
  <autoFilter ref="C121:D125" xr:uid="{98A96A48-E32D-4A3C-8F07-9507D89A6DDB}"/>
  <tableColumns count="2">
    <tableColumn id="1" xr3:uid="{60B002E8-2660-4681-A68C-2ED939137078}" name="Monthly Income" totalsRowLabel="Total Income" dataDxfId="108" totalsRowDxfId="107"/>
    <tableColumn id="3" xr3:uid="{7F8CD46E-C668-4516-B4A3-085738D17635}" name="Actual" totalsRowFunction="sum" dataDxfId="106" totalsRowDxfId="105" dataCellStyle="Currency">
      <calculatedColumnFormula>SUMIFS('List Income'!$C$3:$C$100000,
        'List Income'!$B$3:$B$100000, 'Yearly income'!$C88,
        'List Income'!$A$3:$A$100000, "&gt;=" &amp; DATE('Cash flow'!$E$3, 10, 1),
        'List Income'!$A$3:$A$100000, "&lt;"  &amp; DATE('Cash flow'!$E$3, 11,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0DF3BA-6330-4250-9B2D-C4BF6D21E35E}" name="Income19715" displayName="Income19715" ref="C132:D137" totalsRowCount="1" headerRowDxfId="104" dataDxfId="103" totalsRowDxfId="102">
  <autoFilter ref="C132:D136" xr:uid="{4B0DF3BA-6330-4250-9B2D-C4BF6D21E35E}"/>
  <tableColumns count="2">
    <tableColumn id="1" xr3:uid="{43F3F124-C0B2-4814-A449-97679EBB1314}" name="Monthly Income" totalsRowLabel="Total Income" dataDxfId="101" totalsRowDxfId="100"/>
    <tableColumn id="3" xr3:uid="{D385C5CA-FDA4-416F-9421-D4910F04DD43}" name="Actual" totalsRowFunction="sum" dataDxfId="99" totalsRowDxfId="98" dataCellStyle="Currency">
      <calculatedColumnFormula>SUMIFS('List Income'!$C$3:$C$100000,
        'List Income'!$B$3:$B$100000, 'Yearly income'!$C99,
        'List Income'!$A$3:$A$100000, "&gt;=" &amp; DATE('Cash flow'!$E$3, 11, 1),
        'List Income'!$A$3:$A$100000, "&lt;"  &amp; DATE('Cash flow'!$E$3, 12,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5FE26EE-2927-483E-965A-7B9A0730983B}" name="Income19716" displayName="Income19716" ref="C143:D148" totalsRowCount="1" headerRowDxfId="97" dataDxfId="96" totalsRowDxfId="95">
  <autoFilter ref="C143:D147" xr:uid="{A5FE26EE-2927-483E-965A-7B9A0730983B}"/>
  <tableColumns count="2">
    <tableColumn id="1" xr3:uid="{6ABBFA3F-8F5B-462F-824E-2A6A6DD4FF45}" name="Monthly Income" totalsRowLabel="Total Income" dataDxfId="94" totalsRowDxfId="93"/>
    <tableColumn id="3" xr3:uid="{E5DC2343-C886-4BC5-8B32-8450A3D16818}" name="Actual" totalsRowFunction="sum" dataDxfId="92" totalsRowDxfId="91" dataCellStyle="Currency">
      <calculatedColumnFormula>SUMIFS('List Income'!$C$3:$C$100000,
        'List Income'!$B$3:$B$100000, 'Yearly income'!$C110,
        'List Income'!$A$3:$A$100000, "&gt;=" &amp; DATE('Cash flow'!$E$3, 12, 1),
        'List Income'!$A$3:$A$100000, "&lt;"  &amp; DATE('Cash flow'!$E$3+1, 1,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Expenses" displayName="Expenses" ref="C5:D20" totalsRowCount="1" headerRowDxfId="90" dataDxfId="89" totalsRowDxfId="88">
  <autoFilter ref="C5:D19" xr:uid="{00000000-0009-0000-0100-000009000000}"/>
  <tableColumns count="2">
    <tableColumn id="1" xr3:uid="{00000000-0010-0000-0200-000001000000}" name="Monthly expenses" totalsRowLabel="Total expenses" dataDxfId="87" totalsRowDxfId="86"/>
    <tableColumn id="3" xr3:uid="{00000000-0010-0000-0200-000003000000}" name="Actual" totalsRowFunction="sum" dataDxfId="85" totalsRowDxfId="84" dataCellStyle="Currency">
      <calculatedColumnFormula>SUM(D28+D49+D70)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6434A-AA65-4297-B1CF-8CA2A13F3E43}" name="Expenses2" displayName="Expenses2" ref="C27:D42" totalsRowCount="1" headerRowDxfId="83" dataDxfId="82" totalsRowDxfId="81">
  <autoFilter ref="C27:D41" xr:uid="{3646434A-AA65-4297-B1CF-8CA2A13F3E43}"/>
  <tableColumns count="2">
    <tableColumn id="1" xr3:uid="{B1393354-A002-4BD6-9344-CBE1992D8AC5}" name="Monthly expenses" totalsRowLabel="Total expenses" dataDxfId="80" totalsRowDxfId="79"/>
    <tableColumn id="3" xr3:uid="{950EF7DC-D5DD-4719-BC43-0A8D71CAAA51}" name="Actual" totalsRowFunction="sum" dataDxfId="78" totalsRowDxfId="77" dataCellStyle="Currency">
      <calculatedColumnFormula>SUMIFS('List Expenses'!$C$3:$C$100000,
        'List Expenses'!$B$3:$B$100000, 'Yearly expenses'!$C6,
        'List Expenses'!$A$3:$A$100000, "&gt;=" &amp; DATE('Cash flow'!$E$3, 1, 1),
        'List Expenses'!$A$3:$A$100000, "&lt;"  &amp; DATE('Cash flow'!$E$3, 2,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B99637-A2B1-48B5-8121-C8CB8506178F}" name="Expenses4" displayName="Expenses4" ref="C48:D63" totalsRowCount="1" headerRowDxfId="76" dataDxfId="75" totalsRowDxfId="74">
  <autoFilter ref="C48:D62" xr:uid="{17B99637-A2B1-48B5-8121-C8CB8506178F}"/>
  <tableColumns count="2">
    <tableColumn id="1" xr3:uid="{24DB168B-C0CE-4D7F-93F3-A1A3B1620A20}" name="Monthly expenses" totalsRowLabel="Total expenses" dataDxfId="73" totalsRowDxfId="72"/>
    <tableColumn id="3" xr3:uid="{B6CF974A-8705-4451-BD58-07968CB887F0}" name="Actual" totalsRowFunction="sum" dataDxfId="71" totalsRowDxfId="70" dataCellStyle="Currency">
      <calculatedColumnFormula>SUMIFS('List Expenses'!$C$3:$C$100000,
        'List Expenses'!$B$3:$B$100000, 'Yearly expenses'!$C6,
        'List Expenses'!$A$3:$A$100000, "&gt;=" &amp; DATE('Cash flow'!$E$3, 2, 1),
        'List Expenses'!$A$3:$A$100000, "&lt;"  &amp; DATE('Cash flow'!$E$3, 3,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C5EEF4-F64E-4749-B579-9FAF68F97FD1}" name="Expenses5" displayName="Expenses5" ref="C69:D84" totalsRowCount="1" headerRowDxfId="69" dataDxfId="68" totalsRowDxfId="67">
  <autoFilter ref="C69:D83" xr:uid="{23C5EEF4-F64E-4749-B579-9FAF68F97FD1}"/>
  <tableColumns count="2">
    <tableColumn id="1" xr3:uid="{C7F9CC92-4CBA-4054-A153-D35A8E2258B4}" name="Monthly expenses" totalsRowLabel="Total expenses" dataDxfId="66" totalsRowDxfId="65"/>
    <tableColumn id="3" xr3:uid="{C5DC2F54-8F5D-480A-8821-CED64242EC36}" name="Actual" totalsRowFunction="sum" dataDxfId="64" totalsRowDxfId="63" dataCellStyle="Currency">
      <calculatedColumnFormula>SUMIFS('List Expenses'!$C$3:$C$100000,
        'List Expenses'!$B$3:$B$100000, 'Yearly expenses'!$C6,
        'List Expenses'!$A$3:$A$100000, "&gt;=" &amp; DATE('Cash flow'!$E$3, 3, 1),
        'List Expenses'!$A$3:$A$100000, "&lt;"  &amp; DATE('Cash flow'!$E$3, 4,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8AA2D13-05AC-40ED-8001-0140447D95D8}" name="Expenses517" displayName="Expenses517" ref="C90:D105" totalsRowCount="1" headerRowDxfId="62" dataDxfId="61" totalsRowDxfId="60">
  <autoFilter ref="C90:D104" xr:uid="{A8AA2D13-05AC-40ED-8001-0140447D95D8}"/>
  <tableColumns count="2">
    <tableColumn id="1" xr3:uid="{0736FF3A-E388-4A0F-8E92-3F926246444B}" name="Monthly expenses" totalsRowLabel="Total expenses" dataDxfId="59" totalsRowDxfId="58"/>
    <tableColumn id="3" xr3:uid="{82A53953-9220-4DB1-90F8-4B70D9303B78}" name="Actual" totalsRowFunction="sum" dataDxfId="57" totalsRowDxfId="56" dataCellStyle="Currency">
      <calculatedColumnFormula>SUMIFS('List Expenses'!$C$3:$C$100000,
        'List Expenses'!$B$3:$B$100000, 'Yearly expenses'!$C27,
        'List Expenses'!$A$3:$A$100000, "&gt;=" &amp; DATE('Cash flow'!$E$3, 4, 1),
        'List Expenses'!$A$3:$A$100000, "&lt;"  &amp; DATE('Cash flow'!$E$3, 5,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282B10-4E39-4D66-A5F9-F0B5062816AB}" name="Expenses520" displayName="Expenses520" ref="C111:D126" totalsRowCount="1" headerRowDxfId="55" dataDxfId="54" totalsRowDxfId="53">
  <autoFilter ref="C111:D125" xr:uid="{84282B10-4E39-4D66-A5F9-F0B5062816AB}"/>
  <tableColumns count="2">
    <tableColumn id="1" xr3:uid="{A773746E-3957-4D82-97FA-AEA96955D258}" name="Monthly expenses" totalsRowLabel="Total expenses" dataDxfId="52" totalsRowDxfId="51"/>
    <tableColumn id="3" xr3:uid="{08AD2EF8-349C-49CE-9BC1-FA9E717BD4A8}" name="Actual" totalsRowFunction="sum" dataDxfId="50" totalsRowDxfId="49" dataCellStyle="Currency">
      <calculatedColumnFormula>SUMIFS('List Expenses'!$C$3:$C$100000,
        'List Expenses'!$B$3:$B$100000, 'Yearly expenses'!$C48,
        'List Expenses'!$A$3:$A$100000, "&gt;=" &amp; DATE('Cash flow'!$E$3, 5, 1),
        'List Expenses'!$A$3:$A$100000, "&lt;"  &amp; DATE('Cash flow'!$E$3, 6,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A099215-D10E-4434-9761-EE6314BC391F}" name="Expenses521" displayName="Expenses521" ref="C132:D147" totalsRowCount="1" headerRowDxfId="48" dataDxfId="47" totalsRowDxfId="46">
  <autoFilter ref="C132:D146" xr:uid="{FA099215-D10E-4434-9761-EE6314BC391F}"/>
  <tableColumns count="2">
    <tableColumn id="1" xr3:uid="{4FCCE69E-E9E5-4278-B947-6F6614363261}" name="Monthly expenses" totalsRowLabel="Total expenses" dataDxfId="45" totalsRowDxfId="44"/>
    <tableColumn id="3" xr3:uid="{B4E650F0-8F54-4136-841E-D7F82A3DC160}" name="Actual" totalsRowFunction="sum" dataDxfId="43" totalsRowDxfId="42" dataCellStyle="Currency">
      <calculatedColumnFormula>SUMIFS('List Expenses'!$C$3:$C$100000,
        'List Expenses'!$B$3:$B$100000, 'Yearly expenses'!$C69,
        'List Expenses'!$A$3:$A$100000, "&gt;=" &amp; DATE('Cash flow'!$E$3, 6, 1),
        'List Expenses'!$A$3:$A$100000, "&lt;"  &amp; DATE('Cash flow'!$E$3, 7,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EDC0B19-6951-4FCA-98C5-33C36AEE6097}" name="Expenses522" displayName="Expenses522" ref="C153:D168" totalsRowCount="1" headerRowDxfId="41" dataDxfId="40" totalsRowDxfId="39">
  <autoFilter ref="C153:D167" xr:uid="{BEDC0B19-6951-4FCA-98C5-33C36AEE6097}"/>
  <tableColumns count="2">
    <tableColumn id="1" xr3:uid="{CC8BBC4B-A573-4D8B-A4F6-65A8663E9581}" name="Monthly expenses" totalsRowLabel="Total expenses" dataDxfId="38" totalsRowDxfId="37"/>
    <tableColumn id="3" xr3:uid="{31B453EE-C95E-4B06-B9F8-7B61B29A1550}" name="Actual" totalsRowFunction="sum" dataDxfId="36" totalsRowDxfId="35" dataCellStyle="Currency">
      <calculatedColumnFormula>SUMIFS('List Expenses'!$C$3:$C$100000,
        'List Expenses'!$B$3:$B$100000, 'Yearly expenses'!$C90,
        'List Expenses'!$A$3:$A$100000, "&gt;=" &amp; DATE('Cash flow'!$E$3, 7, 1),
        'List Expenses'!$A$3:$A$100000, "&lt;"  &amp; DATE('Cash flow'!$E$3, 8,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E41B6DB-6F8F-4030-B57E-D319B5A8298C}" name="Expenses523" displayName="Expenses523" ref="C174:D189" totalsRowCount="1" headerRowDxfId="34" dataDxfId="33" totalsRowDxfId="32">
  <autoFilter ref="C174:D188" xr:uid="{4E41B6DB-6F8F-4030-B57E-D319B5A8298C}"/>
  <tableColumns count="2">
    <tableColumn id="1" xr3:uid="{6ACC126C-4DE5-456A-B19F-2B97CD15F1FE}" name="Monthly expenses" totalsRowLabel="Total expenses" dataDxfId="31" totalsRowDxfId="30"/>
    <tableColumn id="3" xr3:uid="{51228856-D647-496A-BF2F-FA6AE19CA502}" name="Actual" totalsRowFunction="sum" dataDxfId="29" totalsRowDxfId="28" dataCellStyle="Currency">
      <calculatedColumnFormula>SUMIFS('List Expenses'!$C$3:$C$100000,
        'List Expenses'!$B$3:$B$100000, 'Yearly expenses'!$C111,
        'List Expenses'!$A$3:$A$100000, "&gt;=" &amp; DATE('Cash flow'!$E$3, 8, 1),
        'List Expenses'!$A$3:$A$100000, "&lt;"  &amp; DATE('Cash flow'!$E$3, 9,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B0D957D-AF2B-426A-B408-4405D5A66678}" name="Expenses524" displayName="Expenses524" ref="C195:D210" totalsRowCount="1" headerRowDxfId="27" dataDxfId="26" totalsRowDxfId="25">
  <autoFilter ref="C195:D209" xr:uid="{1B0D957D-AF2B-426A-B408-4405D5A66678}"/>
  <tableColumns count="2">
    <tableColumn id="1" xr3:uid="{86BBBB00-BA64-4A60-AF9F-639AACE8FD8E}" name="Monthly expenses" totalsRowLabel="Total expenses" dataDxfId="24" totalsRowDxfId="23"/>
    <tableColumn id="3" xr3:uid="{0106FD47-49CB-4423-A038-5631DBC39F61}" name="Actual" totalsRowFunction="sum" dataDxfId="22" totalsRowDxfId="21" dataCellStyle="Currency">
      <calculatedColumnFormula>SUMIFS('List Expenses'!$C$3:$C$100000,
        'List Expenses'!$B$3:$B$100000, 'Yearly expenses'!$C132,
        'List Expenses'!$A$3:$A$100000, "&gt;=" &amp; DATE('Cash flow'!$E$3, 9, 1),
        'List Expenses'!$A$3:$A$100000, "&lt;"  &amp; DATE('Cash flow'!$E$3, 10,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E522AB0-B369-4761-9E1D-2EB64C0B5831}" name="Expenses525" displayName="Expenses525" ref="C216:D231" totalsRowCount="1" headerRowDxfId="20" dataDxfId="19" totalsRowDxfId="18">
  <autoFilter ref="C216:D230" xr:uid="{BE522AB0-B369-4761-9E1D-2EB64C0B5831}"/>
  <tableColumns count="2">
    <tableColumn id="1" xr3:uid="{B51804D8-1F32-46AD-BFDB-BFED6E2C6BD6}" name="Monthly expenses" totalsRowLabel="Total expenses" dataDxfId="17" totalsRowDxfId="16"/>
    <tableColumn id="3" xr3:uid="{2DEEFF08-2D84-4100-A035-7E2DF365F942}" name="Actual" totalsRowFunction="sum" dataDxfId="15" totalsRowDxfId="14" dataCellStyle="Currency">
      <calculatedColumnFormula>SUMIFS('List Expenses'!$C$3:$C$100000,
        'List Expenses'!$B$3:$B$100000, 'Yearly expenses'!$C153,
        'List Expenses'!$A$3:$A$100000, "&gt;=" &amp; DATE('Cash flow'!$E$3, 10, 1),
        'List Expenses'!$A$3:$A$100000, "&lt;"  &amp; DATE('Cash flow'!$E$3, 11,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51EEBC3-C26A-4E81-8FEE-02A05BAAF60C}" name="Expenses526" displayName="Expenses526" ref="C237:D252" totalsRowCount="1" headerRowDxfId="13" dataDxfId="12" totalsRowDxfId="11">
  <autoFilter ref="C237:D251" xr:uid="{851EEBC3-C26A-4E81-8FEE-02A05BAAF60C}"/>
  <tableColumns count="2">
    <tableColumn id="1" xr3:uid="{D85D9AB7-198C-41E9-B0AA-7EB76303EAD1}" name="Monthly expenses" totalsRowLabel="Total expenses" dataDxfId="10" totalsRowDxfId="9"/>
    <tableColumn id="3" xr3:uid="{B9602B15-6796-4184-AE03-C5E3708A4804}" name="Actual" totalsRowFunction="sum" dataDxfId="8" totalsRowDxfId="7" dataCellStyle="Currency">
      <calculatedColumnFormula>SUMIFS('List Expenses'!$C$3:$C$100000,
        'List Expenses'!$B$3:$B$100000, 'Yearly expenses'!$C174,
        'List Expenses'!$A$3:$A$100000, "&gt;=" &amp; DATE('Cash flow'!$E$3, 11, 1),
        'List Expenses'!$A$3:$A$100000, "&lt;"  &amp; DATE('Cash flow'!$E$3, 12,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360B0FF-6DB3-4878-96B4-EE24F5911552}" name="Expenses527" displayName="Expenses527" ref="C258:D273" totalsRowCount="1" headerRowDxfId="6" dataDxfId="5" totalsRowDxfId="4">
  <autoFilter ref="C258:D272" xr:uid="{7360B0FF-6DB3-4878-96B4-EE24F5911552}"/>
  <tableColumns count="2">
    <tableColumn id="1" xr3:uid="{D41BC364-26C6-45AA-84DB-68883840A2BB}" name="Monthly expenses" totalsRowLabel="Total expenses" dataDxfId="3" totalsRowDxfId="2"/>
    <tableColumn id="3" xr3:uid="{7027AD49-AA4A-4656-87AD-E5AE13388F14}" name="Actual" totalsRowFunction="sum" dataDxfId="1" totalsRowDxfId="0" dataCellStyle="Currency">
      <calculatedColumnFormula>SUMIFS('List Expenses'!$C$3:$C$100000,
        'List Expenses'!$B$3:$B$100000, 'Yearly expenses'!$C195,
        'List Expenses'!$A$3:$A$100000, "&gt;=" &amp; DATE('Cash flow'!$E$3, 12, 1),
        'List Expenses'!$A$3:$A$100000, "&lt;"  &amp; DATE('Cash flow'!$E$3+1, 1,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heme/theme1.xml><?xml version="1.0" encoding="utf-8"?>
<a:theme xmlns:a="http://schemas.openxmlformats.org/drawingml/2006/main" name="Office Theme">
  <a:themeElements>
    <a:clrScheme name="tf00000075">
      <a:dk1>
        <a:srgbClr val="000000"/>
      </a:dk1>
      <a:lt1>
        <a:srgbClr val="FFFFFF"/>
      </a:lt1>
      <a:dk2>
        <a:srgbClr val="44546A"/>
      </a:dk2>
      <a:lt2>
        <a:srgbClr val="ECE9E2"/>
      </a:lt2>
      <a:accent1>
        <a:srgbClr val="CC4930"/>
      </a:accent1>
      <a:accent2>
        <a:srgbClr val="D67F8D"/>
      </a:accent2>
      <a:accent3>
        <a:srgbClr val="499996"/>
      </a:accent3>
      <a:accent4>
        <a:srgbClr val="C9E9D2"/>
      </a:accent4>
      <a:accent5>
        <a:srgbClr val="9885DF"/>
      </a:accent5>
      <a:accent6>
        <a:srgbClr val="E0CDE2"/>
      </a:accent6>
      <a:hlink>
        <a:srgbClr val="0563C1"/>
      </a:hlink>
      <a:folHlink>
        <a:srgbClr val="954F72"/>
      </a:folHlink>
    </a:clrScheme>
    <a:fontScheme name="Custom 58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5" Type="http://schemas.openxmlformats.org/officeDocument/2006/relationships/table" Target="../tables/table16.xml"/><Relationship Id="rId15" Type="http://schemas.openxmlformats.org/officeDocument/2006/relationships/table" Target="../tables/table26.xml"/><Relationship Id="rId10" Type="http://schemas.openxmlformats.org/officeDocument/2006/relationships/table" Target="../tables/table21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Relationship Id="rId14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/>
    <pageSetUpPr fitToPage="1"/>
  </sheetPr>
  <dimension ref="B1:G34"/>
  <sheetViews>
    <sheetView showGridLines="0" tabSelected="1" zoomScale="68" zoomScaleNormal="100" workbookViewId="0">
      <selection activeCell="K4" sqref="K4"/>
    </sheetView>
  </sheetViews>
  <sheetFormatPr defaultColWidth="9" defaultRowHeight="30" customHeight="1" x14ac:dyDescent="0.3"/>
  <cols>
    <col min="1" max="2" width="2.5" customWidth="1"/>
    <col min="3" max="3" width="40.83203125" style="5" customWidth="1"/>
    <col min="4" max="4" width="56.75" style="1" customWidth="1"/>
    <col min="5" max="6" width="15.83203125" style="1" customWidth="1"/>
    <col min="7" max="7" width="2.5" style="1" customWidth="1"/>
    <col min="8" max="8" width="2.5" customWidth="1"/>
  </cols>
  <sheetData>
    <row r="1" spans="2:7" ht="18" customHeight="1" x14ac:dyDescent="0.3"/>
    <row r="2" spans="2:7" ht="18" customHeight="1" x14ac:dyDescent="0.3">
      <c r="B2" s="2"/>
      <c r="C2" s="6"/>
      <c r="D2" s="3"/>
      <c r="E2" s="3"/>
      <c r="F2" s="3"/>
      <c r="G2" s="3"/>
    </row>
    <row r="3" spans="2:7" ht="70" customHeight="1" x14ac:dyDescent="1.7">
      <c r="B3" s="2"/>
      <c r="C3" s="49" t="s">
        <v>27</v>
      </c>
      <c r="D3" s="50"/>
      <c r="E3" s="51">
        <v>2025</v>
      </c>
      <c r="F3" s="52"/>
      <c r="G3" s="3"/>
    </row>
    <row r="4" spans="2:7" ht="45" customHeight="1" x14ac:dyDescent="0.3">
      <c r="B4" s="2"/>
      <c r="C4" s="15" t="s">
        <v>28</v>
      </c>
      <c r="D4" s="11"/>
      <c r="E4" s="11"/>
      <c r="F4" s="11"/>
      <c r="G4" s="3"/>
    </row>
    <row r="5" spans="2:7" ht="349.5" customHeight="1" x14ac:dyDescent="0.3">
      <c r="B5" s="2"/>
      <c r="C5" s="6"/>
      <c r="D5" s="3"/>
      <c r="E5" s="3"/>
      <c r="F5" s="3"/>
      <c r="G5" s="3"/>
    </row>
    <row r="6" spans="2:7" ht="409.6" customHeight="1" x14ac:dyDescent="0.3">
      <c r="B6" s="2"/>
      <c r="C6" s="6"/>
      <c r="D6" s="3"/>
      <c r="E6" s="3"/>
      <c r="F6" s="3"/>
      <c r="G6" s="3"/>
    </row>
    <row r="7" spans="2:7" ht="40" customHeight="1" thickBot="1" x14ac:dyDescent="0.35">
      <c r="B7" s="2"/>
      <c r="C7" s="6"/>
      <c r="D7" s="3"/>
      <c r="E7" s="3"/>
      <c r="F7" s="3"/>
      <c r="G7" s="3"/>
    </row>
    <row r="8" spans="2:7" ht="40" customHeight="1" x14ac:dyDescent="0.3">
      <c r="B8" s="2"/>
      <c r="C8" s="16" t="s">
        <v>0</v>
      </c>
      <c r="D8" s="12" t="s">
        <v>1</v>
      </c>
      <c r="E8" s="19"/>
      <c r="F8" s="20"/>
      <c r="G8" s="2"/>
    </row>
    <row r="9" spans="2:7" ht="40" customHeight="1" x14ac:dyDescent="0.3">
      <c r="B9" s="2"/>
      <c r="C9" s="25" t="s">
        <v>10</v>
      </c>
      <c r="D9" s="47">
        <f>'Yearly income'!D10</f>
        <v>0</v>
      </c>
      <c r="E9" s="4"/>
      <c r="F9" s="2"/>
      <c r="G9" s="2"/>
    </row>
    <row r="10" spans="2:7" ht="40" customHeight="1" x14ac:dyDescent="0.3">
      <c r="B10" s="2"/>
      <c r="C10" s="26" t="s">
        <v>11</v>
      </c>
      <c r="D10" s="47">
        <f>Expenses[[#Totals],[Actual]]</f>
        <v>0</v>
      </c>
      <c r="E10" s="4"/>
      <c r="F10" s="2"/>
      <c r="G10" s="2"/>
    </row>
    <row r="11" spans="2:7" ht="40" customHeight="1" x14ac:dyDescent="0.3">
      <c r="B11" s="2"/>
      <c r="C11" s="13" t="s">
        <v>42</v>
      </c>
      <c r="D11" s="48">
        <f>D9-D10</f>
        <v>0</v>
      </c>
      <c r="E11" s="4"/>
      <c r="F11" s="2"/>
      <c r="G11" s="2"/>
    </row>
    <row r="12" spans="2:7" ht="40" customHeight="1" x14ac:dyDescent="0.3">
      <c r="B12" s="2"/>
      <c r="C12" s="13"/>
      <c r="D12" s="3"/>
      <c r="E12" s="3"/>
      <c r="F12" s="3"/>
      <c r="G12" s="3"/>
    </row>
    <row r="21" spans="3:5" ht="30" customHeight="1" x14ac:dyDescent="0.3">
      <c r="C21"/>
      <c r="D21">
        <f>'Yearly income'!$D$27 - 'Yearly expenses'!$D$42</f>
        <v>0</v>
      </c>
      <c r="E21"/>
    </row>
    <row r="22" spans="3:5" ht="30" customHeight="1" x14ac:dyDescent="0.3">
      <c r="C22"/>
      <c r="D22">
        <f>'Yearly income'!$D$38 - 'Yearly expenses'!$D$63</f>
        <v>0</v>
      </c>
      <c r="E22"/>
    </row>
    <row r="23" spans="3:5" ht="30" customHeight="1" x14ac:dyDescent="0.3">
      <c r="C23"/>
      <c r="D23">
        <f>'Yearly income'!$D$49 - 'Yearly expenses'!$D$84</f>
        <v>0</v>
      </c>
      <c r="E23"/>
    </row>
    <row r="24" spans="3:5" ht="30" customHeight="1" x14ac:dyDescent="0.3">
      <c r="C24"/>
      <c r="D24">
        <f>'Yearly income'!$D$60 - 'Yearly expenses'!$D$105</f>
        <v>0</v>
      </c>
      <c r="E24"/>
    </row>
    <row r="25" spans="3:5" ht="30" customHeight="1" x14ac:dyDescent="0.3">
      <c r="C25"/>
      <c r="D25">
        <f>'Yearly income'!$D$71 - 'Yearly expenses'!$D$126</f>
        <v>0</v>
      </c>
      <c r="E25"/>
    </row>
    <row r="26" spans="3:5" ht="30" customHeight="1" x14ac:dyDescent="0.3">
      <c r="C26"/>
      <c r="D26">
        <f>'Yearly income'!$D$82 - 'Yearly expenses'!$D$147</f>
        <v>0</v>
      </c>
      <c r="E26"/>
    </row>
    <row r="27" spans="3:5" ht="30" customHeight="1" x14ac:dyDescent="0.3">
      <c r="C27"/>
      <c r="D27">
        <f>'Yearly income'!$D$93 - 'Yearly expenses'!$D$168</f>
        <v>0</v>
      </c>
      <c r="E27"/>
    </row>
    <row r="28" spans="3:5" ht="30" customHeight="1" x14ac:dyDescent="0.3">
      <c r="C28"/>
      <c r="D28">
        <f>'Yearly income'!$D$104 - 'Yearly expenses'!$D$189</f>
        <v>0</v>
      </c>
      <c r="E28"/>
    </row>
    <row r="29" spans="3:5" ht="30" customHeight="1" x14ac:dyDescent="0.3">
      <c r="C29"/>
      <c r="D29">
        <f>'Yearly income'!$D$115 - 'Yearly expenses'!$D$210</f>
        <v>0</v>
      </c>
      <c r="E29"/>
    </row>
    <row r="30" spans="3:5" ht="30" customHeight="1" x14ac:dyDescent="0.3">
      <c r="C30"/>
      <c r="D30">
        <f>'Yearly income'!$D$126 - 'Yearly expenses'!$D$231</f>
        <v>0</v>
      </c>
      <c r="E30"/>
    </row>
    <row r="31" spans="3:5" ht="30" customHeight="1" x14ac:dyDescent="0.3">
      <c r="C31"/>
      <c r="D31">
        <f>'Yearly income'!$D$137 - 'Yearly expenses'!$D$252</f>
        <v>0</v>
      </c>
      <c r="E31"/>
    </row>
    <row r="32" spans="3:5" ht="30" customHeight="1" x14ac:dyDescent="0.3">
      <c r="C32"/>
      <c r="D32">
        <f>'Yearly income'!$D$148 - 'Yearly expenses'!$D$273</f>
        <v>0</v>
      </c>
      <c r="E32"/>
    </row>
    <row r="33" spans="3:5" ht="30" customHeight="1" x14ac:dyDescent="0.3">
      <c r="C33"/>
      <c r="D33"/>
      <c r="E33"/>
    </row>
    <row r="34" spans="3:5" ht="30" customHeight="1" x14ac:dyDescent="0.3">
      <c r="C34"/>
      <c r="D34"/>
      <c r="E34"/>
    </row>
  </sheetData>
  <mergeCells count="2">
    <mergeCell ref="C3:D3"/>
    <mergeCell ref="E3:F3"/>
  </mergeCells>
  <dataValidations count="5">
    <dataValidation allowBlank="1" showInputMessage="1" showErrorMessage="1" prompt="Enter Month in this cell" sqref="C3" xr:uid="{00000000-0002-0000-0000-000001000000}"/>
    <dataValidation allowBlank="1" showInputMessage="1" showErrorMessage="1" prompt="Title of this worksheet is in this cell. Enter Monthly Income in Monthly Income worksheet and Monthly Expenses in Monthly Expenses worksheet" sqref="C4" xr:uid="{00000000-0002-0000-0000-000003000000}"/>
    <dataValidation allowBlank="1" showInputMessage="1" showErrorMessage="1" prompt="Clustered column chart depicting projected and actual values for Total Income, Total Expenses, and Total Cash" sqref="C5:C6" xr:uid="{00000000-0002-0000-0000-000004000000}"/>
    <dataValidation allowBlank="1" showInputMessage="1" showErrorMessage="1" prompt="Total Income and Total Expenses are automatically updated in this column under this heading" sqref="C8" xr:uid="{00000000-0002-0000-0000-000005000000}"/>
    <dataValidation allowBlank="1" showInputMessage="1" showErrorMessage="1" prompt="Actual amount is automatically updated this column under this heading" sqref="D8" xr:uid="{00000000-0002-0000-0000-000007000000}"/>
  </dataValidations>
  <printOptions horizontalCentered="1"/>
  <pageMargins left="0.3" right="0.3" top="0.4" bottom="0.75" header="0.3" footer="0.3"/>
  <pageSetup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fitToPage="1"/>
  </sheetPr>
  <dimension ref="B1:P149"/>
  <sheetViews>
    <sheetView showGridLines="0" topLeftCell="A131" zoomScale="91" workbookViewId="0">
      <selection activeCell="L11" sqref="L11"/>
    </sheetView>
  </sheetViews>
  <sheetFormatPr defaultColWidth="9" defaultRowHeight="30" customHeight="1" x14ac:dyDescent="0.3"/>
  <cols>
    <col min="1" max="2" width="2.5" customWidth="1"/>
    <col min="3" max="3" width="40.83203125" style="5" customWidth="1"/>
    <col min="4" max="4" width="15.83203125" style="29" customWidth="1"/>
    <col min="5" max="6" width="15.83203125" customWidth="1"/>
    <col min="7" max="8" width="2.5" customWidth="1"/>
  </cols>
  <sheetData>
    <row r="1" spans="3:7" ht="30" customHeight="1" x14ac:dyDescent="0.3">
      <c r="D1"/>
    </row>
    <row r="2" spans="3:7" ht="30" customHeight="1" x14ac:dyDescent="0.3">
      <c r="C2" s="6"/>
      <c r="D2" s="2"/>
      <c r="E2" s="2"/>
      <c r="F2" s="2"/>
      <c r="G2" s="2"/>
    </row>
    <row r="3" spans="3:7" ht="30" customHeight="1" x14ac:dyDescent="0.3">
      <c r="C3" s="6"/>
      <c r="D3" s="2"/>
      <c r="E3" s="2"/>
      <c r="F3" s="2"/>
      <c r="G3" s="2"/>
    </row>
    <row r="4" spans="3:7" ht="30" customHeight="1" x14ac:dyDescent="0.3">
      <c r="C4" s="6"/>
      <c r="D4" s="2"/>
      <c r="E4" s="2"/>
      <c r="F4" s="2"/>
      <c r="G4" s="2"/>
    </row>
    <row r="5" spans="3:7" ht="30" customHeight="1" x14ac:dyDescent="0.3">
      <c r="C5" s="6"/>
      <c r="D5" s="2"/>
      <c r="E5" s="2"/>
      <c r="F5" s="2"/>
      <c r="G5" s="2"/>
    </row>
    <row r="6" spans="3:7" ht="30" customHeight="1" x14ac:dyDescent="0.3">
      <c r="C6" s="6"/>
      <c r="D6" s="2"/>
      <c r="E6" s="2"/>
      <c r="F6" s="2"/>
      <c r="G6" s="2"/>
    </row>
    <row r="7" spans="3:7" ht="30" customHeight="1" x14ac:dyDescent="0.3">
      <c r="C7" s="6"/>
      <c r="D7" s="2"/>
      <c r="E7" s="2"/>
      <c r="F7" s="2"/>
      <c r="G7" s="2"/>
    </row>
    <row r="8" spans="3:7" ht="30" customHeight="1" x14ac:dyDescent="0.3">
      <c r="C8" s="6"/>
      <c r="D8" s="2"/>
      <c r="E8" s="2"/>
      <c r="F8" s="2"/>
      <c r="G8" s="2"/>
    </row>
    <row r="9" spans="3:7" ht="30" customHeight="1" x14ac:dyDescent="0.3">
      <c r="C9" s="6"/>
      <c r="D9" s="2"/>
      <c r="E9" s="2"/>
      <c r="F9" s="2"/>
      <c r="G9" s="2"/>
    </row>
    <row r="10" spans="3:7" ht="30" customHeight="1" x14ac:dyDescent="0.3">
      <c r="C10" s="23" t="s">
        <v>33</v>
      </c>
      <c r="D10" s="42">
        <f>SUM(D11:D15)</f>
        <v>0</v>
      </c>
      <c r="E10" s="2"/>
      <c r="F10" s="2"/>
      <c r="G10" s="2"/>
    </row>
    <row r="11" spans="3:7" ht="30" customHeight="1" x14ac:dyDescent="0.3">
      <c r="C11" s="6" t="s">
        <v>15</v>
      </c>
      <c r="D11" s="43">
        <f>SUM(D23+D34+D45)</f>
        <v>0</v>
      </c>
      <c r="E11" s="2"/>
      <c r="F11" s="2"/>
      <c r="G11" s="2"/>
    </row>
    <row r="12" spans="3:7" ht="30" customHeight="1" x14ac:dyDescent="0.3">
      <c r="C12" s="6" t="s">
        <v>16</v>
      </c>
      <c r="D12" s="43">
        <f>SUM(D24+D35+D46)</f>
        <v>0</v>
      </c>
      <c r="E12" s="2"/>
      <c r="F12" s="2"/>
      <c r="G12" s="2"/>
    </row>
    <row r="13" spans="3:7" ht="30" customHeight="1" x14ac:dyDescent="0.3">
      <c r="C13" s="6" t="s">
        <v>18</v>
      </c>
      <c r="D13" s="43">
        <f>SUM(D25+D36+D47)</f>
        <v>0</v>
      </c>
      <c r="E13" s="2"/>
      <c r="F13" s="2"/>
      <c r="G13" s="2"/>
    </row>
    <row r="14" spans="3:7" ht="30" customHeight="1" x14ac:dyDescent="0.3">
      <c r="C14" s="6" t="s">
        <v>17</v>
      </c>
      <c r="D14" s="43">
        <f>SUM(D26+D37+D48)</f>
        <v>0</v>
      </c>
      <c r="E14" s="2"/>
      <c r="F14" s="2"/>
      <c r="G14" s="2"/>
    </row>
    <row r="15" spans="3:7" ht="30" customHeight="1" x14ac:dyDescent="0.3">
      <c r="C15" s="6" t="s">
        <v>39</v>
      </c>
      <c r="D15" s="43">
        <v>0</v>
      </c>
      <c r="E15" s="2"/>
      <c r="F15" s="2"/>
      <c r="G15" s="2"/>
    </row>
    <row r="18" spans="2:16" ht="18" customHeight="1" x14ac:dyDescent="0.3">
      <c r="P18" s="24"/>
    </row>
    <row r="19" spans="2:16" ht="18" customHeight="1" x14ac:dyDescent="0.3">
      <c r="B19" s="2"/>
      <c r="C19" s="6"/>
      <c r="D19" s="43"/>
      <c r="E19" s="2"/>
    </row>
    <row r="20" spans="2:16" ht="70" customHeight="1" thickBot="1" x14ac:dyDescent="0.35">
      <c r="B20" s="2"/>
      <c r="C20" s="21" t="s">
        <v>43</v>
      </c>
      <c r="D20" s="44"/>
      <c r="E20" s="22"/>
    </row>
    <row r="21" spans="2:16" ht="18" customHeight="1" x14ac:dyDescent="0.3">
      <c r="B21" s="2"/>
      <c r="C21" s="6"/>
      <c r="D21" s="43"/>
      <c r="E21" s="2"/>
    </row>
    <row r="22" spans="2:16" ht="30" customHeight="1" x14ac:dyDescent="0.3">
      <c r="B22" s="2"/>
      <c r="C22" s="18" t="s">
        <v>3</v>
      </c>
      <c r="D22" s="45" t="s">
        <v>1</v>
      </c>
      <c r="E22" s="2"/>
    </row>
    <row r="23" spans="2:16" ht="30" customHeight="1" x14ac:dyDescent="0.3">
      <c r="B23" s="2"/>
      <c r="C23" s="13" t="s">
        <v>15</v>
      </c>
      <c r="D23" s="46">
        <f>SUMIFS('List Income'!$C$3:$C$100000,
        'List Income'!$B$3:$B$100000, 'Yearly income'!$C11,
        'List Income'!$A$3:$A$100000, "&gt;=" &amp; DATE('Cash flow'!$E$3, 1, 1),
        'List Income'!$A$3:$A$100000, "&lt;"  &amp; DATE('Cash flow'!$E$3, 2, 1))</f>
        <v>0</v>
      </c>
      <c r="E23" s="2"/>
    </row>
    <row r="24" spans="2:16" ht="30" customHeight="1" x14ac:dyDescent="0.3">
      <c r="B24" s="2"/>
      <c r="C24" s="13" t="s">
        <v>16</v>
      </c>
      <c r="D24" s="46">
        <f>SUMIFS('List Income'!$C$3:$C$100000,
        'List Income'!$B$3:$B$100000, 'Yearly income'!$C12,
        'List Income'!$A$3:$A$100000, "&gt;=" &amp; DATE('Cash flow'!$E$3, 1, 1),
        'List Income'!$A$3:$A$100000, "&lt;"  &amp; DATE('Cash flow'!$E$3, 2, 1))</f>
        <v>0</v>
      </c>
      <c r="E24" s="2"/>
    </row>
    <row r="25" spans="2:16" ht="30" customHeight="1" x14ac:dyDescent="0.3">
      <c r="B25" s="2"/>
      <c r="C25" s="13" t="s">
        <v>4</v>
      </c>
      <c r="D25" s="46">
        <f>SUMIFS('List Income'!$C$3:$C$100000,
        'List Income'!$B$3:$B$100000, 'Yearly income'!$C13,
        'List Income'!$A$3:$A$100000, "&gt;=" &amp; DATE('Cash flow'!$E$3, 1, 1),
        'List Income'!$A$3:$A$100000, "&lt;"  &amp; DATE('Cash flow'!$E$3, 2, 1))</f>
        <v>0</v>
      </c>
      <c r="E25" s="2"/>
    </row>
    <row r="26" spans="2:16" ht="30" customHeight="1" x14ac:dyDescent="0.3">
      <c r="B26" s="2"/>
      <c r="C26" s="13" t="s">
        <v>17</v>
      </c>
      <c r="D26" s="46">
        <f>SUMIFS('List Income'!$C$3:$C$100000,
        'List Income'!$B$3:$B$100000, 'Yearly income'!$C14,
        'List Income'!$A$3:$A$100000, "&gt;=" &amp; DATE('Cash flow'!$E$3, 1, 1),
        'List Income'!$A$3:$A$100000, "&lt;"  &amp; DATE('Cash flow'!$E$3, 2, 1))</f>
        <v>0</v>
      </c>
      <c r="E26" s="2"/>
    </row>
    <row r="27" spans="2:16" ht="30" customHeight="1" x14ac:dyDescent="0.3">
      <c r="B27" s="2"/>
      <c r="C27" s="18" t="s">
        <v>2</v>
      </c>
      <c r="D27" s="34">
        <f>SUBTOTAL(109,Income[Actual])</f>
        <v>0</v>
      </c>
      <c r="E27" s="2"/>
    </row>
    <row r="28" spans="2:16" ht="30" customHeight="1" x14ac:dyDescent="0.3">
      <c r="B28" s="2"/>
      <c r="C28" s="6"/>
      <c r="D28" s="43"/>
      <c r="E28" s="2"/>
    </row>
    <row r="30" spans="2:16" ht="30" customHeight="1" x14ac:dyDescent="0.3">
      <c r="B30" s="2"/>
      <c r="C30" s="6"/>
      <c r="D30" s="43"/>
      <c r="E30" s="2"/>
    </row>
    <row r="31" spans="2:16" ht="30" customHeight="1" thickBot="1" x14ac:dyDescent="0.35">
      <c r="B31" s="2"/>
      <c r="C31" s="21" t="s">
        <v>44</v>
      </c>
      <c r="D31" s="44"/>
      <c r="E31" s="22"/>
    </row>
    <row r="32" spans="2:16" ht="30" customHeight="1" x14ac:dyDescent="0.3">
      <c r="B32" s="2"/>
      <c r="C32" s="6"/>
      <c r="D32" s="43"/>
      <c r="E32" s="2"/>
    </row>
    <row r="33" spans="2:5" ht="30" customHeight="1" x14ac:dyDescent="0.3">
      <c r="B33" s="2"/>
      <c r="C33" s="18" t="s">
        <v>3</v>
      </c>
      <c r="D33" s="45" t="s">
        <v>1</v>
      </c>
      <c r="E33" s="2"/>
    </row>
    <row r="34" spans="2:5" ht="30" customHeight="1" x14ac:dyDescent="0.3">
      <c r="B34" s="2"/>
      <c r="C34" s="13" t="s">
        <v>15</v>
      </c>
      <c r="D34" s="46">
        <f>SUMIFS('List Income'!$C$3:$C$100000,
        'List Income'!$B$3:$B$100000, 'Yearly income'!$C11,
        'List Income'!$A$3:$A$100000, "&gt;=" &amp; DATE('Cash flow'!$E$3, 2, 1),
        'List Income'!$A$3:$A$100000, "&lt;"  &amp; DATE('Cash flow'!$E$3, 3, 1))</f>
        <v>0</v>
      </c>
      <c r="E34" s="2"/>
    </row>
    <row r="35" spans="2:5" ht="30" customHeight="1" x14ac:dyDescent="0.3">
      <c r="B35" s="2"/>
      <c r="C35" s="13" t="s">
        <v>16</v>
      </c>
      <c r="D35" s="46">
        <f>SUMIFS('List Income'!$C$3:$C$100000,
        'List Income'!$B$3:$B$100000, 'Yearly income'!$C12,
        'List Income'!$A$3:$A$100000, "&gt;=" &amp; DATE('Cash flow'!$E$3, 2, 1),
        'List Income'!$A$3:$A$100000, "&lt;"  &amp; DATE('Cash flow'!$E$3, 3, 1))</f>
        <v>0</v>
      </c>
      <c r="E35" s="2"/>
    </row>
    <row r="36" spans="2:5" ht="30" customHeight="1" x14ac:dyDescent="0.3">
      <c r="B36" s="2"/>
      <c r="C36" s="13" t="s">
        <v>4</v>
      </c>
      <c r="D36" s="46">
        <f>SUMIFS('List Income'!$C$3:$C$100000,
        'List Income'!$B$3:$B$100000, 'Yearly income'!$C13,
        'List Income'!$A$3:$A$100000, "&gt;=" &amp; DATE('Cash flow'!$E$3, 2, 1),
        'List Income'!$A$3:$A$100000, "&lt;"  &amp; DATE('Cash flow'!$E$3, 3, 1))</f>
        <v>0</v>
      </c>
      <c r="E36" s="2"/>
    </row>
    <row r="37" spans="2:5" ht="30" customHeight="1" x14ac:dyDescent="0.3">
      <c r="B37" s="2"/>
      <c r="C37" s="13" t="s">
        <v>17</v>
      </c>
      <c r="D37" s="46">
        <f>SUMIFS('List Income'!$C$3:$C$100000,
        'List Income'!$B$3:$B$100000, 'Yearly income'!$C14,
        'List Income'!$A$3:$A$100000, "&gt;=" &amp; DATE('Cash flow'!$E$3, 2, 1),
        'List Income'!$A$3:$A$100000, "&lt;"  &amp; DATE('Cash flow'!$E$3, 3, 1))</f>
        <v>0</v>
      </c>
      <c r="E37" s="2"/>
    </row>
    <row r="38" spans="2:5" ht="30" customHeight="1" x14ac:dyDescent="0.3">
      <c r="B38" s="2"/>
      <c r="C38" s="18" t="s">
        <v>2</v>
      </c>
      <c r="D38" s="34">
        <f>SUBTOTAL(109,Income18[Actual])</f>
        <v>0</v>
      </c>
      <c r="E38" s="2"/>
    </row>
    <row r="39" spans="2:5" ht="30" customHeight="1" x14ac:dyDescent="0.3">
      <c r="B39" s="2"/>
      <c r="C39" s="6"/>
      <c r="D39" s="43"/>
      <c r="E39" s="2"/>
    </row>
    <row r="41" spans="2:5" ht="30" customHeight="1" x14ac:dyDescent="0.3">
      <c r="B41" s="2"/>
      <c r="C41" s="6"/>
      <c r="D41" s="43"/>
      <c r="E41" s="2"/>
    </row>
    <row r="42" spans="2:5" ht="30" customHeight="1" thickBot="1" x14ac:dyDescent="0.35">
      <c r="B42" s="2"/>
      <c r="C42" s="21" t="s">
        <v>45</v>
      </c>
      <c r="D42" s="44"/>
      <c r="E42" s="22"/>
    </row>
    <row r="43" spans="2:5" ht="30" customHeight="1" x14ac:dyDescent="0.3">
      <c r="B43" s="2"/>
      <c r="C43" s="6"/>
      <c r="D43" s="43"/>
      <c r="E43" s="2"/>
    </row>
    <row r="44" spans="2:5" ht="30" customHeight="1" x14ac:dyDescent="0.3">
      <c r="B44" s="2"/>
      <c r="C44" s="18" t="s">
        <v>3</v>
      </c>
      <c r="D44" s="45" t="s">
        <v>1</v>
      </c>
      <c r="E44" s="2"/>
    </row>
    <row r="45" spans="2:5" ht="30" customHeight="1" x14ac:dyDescent="0.3">
      <c r="B45" s="2"/>
      <c r="C45" s="13" t="s">
        <v>15</v>
      </c>
      <c r="D45" s="46">
        <f>SUMIFS('List Income'!$C$3:$C$100000,
        'List Income'!$B$3:$B$100000, 'Yearly income'!$C11,
        'List Income'!$A$3:$A$100000, "&gt;=" &amp; DATE('Cash flow'!$E$3, 3, 1),
        'List Income'!$A$3:$A$100000, "&lt;"  &amp; DATE('Cash flow'!$E$3, 4, 1))</f>
        <v>0</v>
      </c>
      <c r="E45" s="2"/>
    </row>
    <row r="46" spans="2:5" ht="30" customHeight="1" x14ac:dyDescent="0.3">
      <c r="B46" s="2"/>
      <c r="C46" s="13" t="s">
        <v>16</v>
      </c>
      <c r="D46" s="46">
        <f>SUMIFS('List Income'!$C$3:$C$100000,
        'List Income'!$B$3:$B$100000, 'Yearly income'!$C12,
        'List Income'!$A$3:$A$100000, "&gt;=" &amp; DATE('Cash flow'!$E$3, 3, 1),
        'List Income'!$A$3:$A$100000, "&lt;"  &amp; DATE('Cash flow'!$E$3, 4, 1))</f>
        <v>0</v>
      </c>
      <c r="E46" s="2"/>
    </row>
    <row r="47" spans="2:5" ht="30" customHeight="1" x14ac:dyDescent="0.3">
      <c r="B47" s="2"/>
      <c r="C47" s="13" t="s">
        <v>4</v>
      </c>
      <c r="D47" s="46">
        <f>SUMIFS('List Income'!$C$3:$C$100000,
        'List Income'!$B$3:$B$100000, 'Yearly income'!$C13,
        'List Income'!$A$3:$A$100000, "&gt;=" &amp; DATE('Cash flow'!$E$3, 3, 1),
        'List Income'!$A$3:$A$100000, "&lt;"  &amp; DATE('Cash flow'!$E$3, 4, 1))</f>
        <v>0</v>
      </c>
      <c r="E47" s="2"/>
    </row>
    <row r="48" spans="2:5" ht="30" customHeight="1" x14ac:dyDescent="0.3">
      <c r="B48" s="2"/>
      <c r="C48" s="13" t="s">
        <v>17</v>
      </c>
      <c r="D48" s="46">
        <f>SUMIFS('List Income'!$C$3:$C$100000,
        'List Income'!$B$3:$B$100000, 'Yearly income'!$C14,
        'List Income'!$A$3:$A$100000, "&gt;=" &amp; DATE('Cash flow'!$E$3, 3, 1),
        'List Income'!$A$3:$A$100000, "&lt;"  &amp; DATE('Cash flow'!$E$3, 4, 1))</f>
        <v>0</v>
      </c>
      <c r="E48" s="2"/>
    </row>
    <row r="49" spans="2:5" ht="30" customHeight="1" x14ac:dyDescent="0.3">
      <c r="B49" s="2"/>
      <c r="C49" s="18" t="s">
        <v>2</v>
      </c>
      <c r="D49" s="34">
        <f>SUBTOTAL(109,Income19[Actual])</f>
        <v>0</v>
      </c>
      <c r="E49" s="2"/>
    </row>
    <row r="50" spans="2:5" ht="30" customHeight="1" x14ac:dyDescent="0.3">
      <c r="B50" s="2"/>
      <c r="C50" s="6"/>
      <c r="D50" s="43"/>
      <c r="E50" s="2"/>
    </row>
    <row r="52" spans="2:5" ht="30" customHeight="1" x14ac:dyDescent="0.3">
      <c r="B52" s="2"/>
      <c r="C52" s="6"/>
      <c r="D52" s="43"/>
      <c r="E52" s="2"/>
    </row>
    <row r="53" spans="2:5" ht="30" customHeight="1" thickBot="1" x14ac:dyDescent="0.35">
      <c r="B53" s="2"/>
      <c r="C53" s="21" t="s">
        <v>46</v>
      </c>
      <c r="D53" s="44"/>
      <c r="E53" s="22"/>
    </row>
    <row r="54" spans="2:5" ht="30" customHeight="1" x14ac:dyDescent="0.3">
      <c r="B54" s="2"/>
      <c r="C54" s="6"/>
      <c r="D54" s="43"/>
      <c r="E54" s="2"/>
    </row>
    <row r="55" spans="2:5" ht="30" customHeight="1" x14ac:dyDescent="0.3">
      <c r="B55" s="2"/>
      <c r="C55" s="18" t="s">
        <v>3</v>
      </c>
      <c r="D55" s="45" t="s">
        <v>1</v>
      </c>
      <c r="E55" s="2"/>
    </row>
    <row r="56" spans="2:5" ht="30" customHeight="1" x14ac:dyDescent="0.3">
      <c r="B56" s="2"/>
      <c r="C56" s="13" t="s">
        <v>15</v>
      </c>
      <c r="D56" s="46">
        <f>SUMIFS('List Income'!$C$3:$C$100000,
        'List Income'!$B$3:$B$100000, 'Yearly income'!$C22,
        'List Income'!$A$3:$A$100000, "&gt;=" &amp; DATE('Cash flow'!$E$3, 4, 1),
        'List Income'!$A$3:$A$100000, "&lt;"  &amp; DATE('Cash flow'!$E$3, 5, 1))</f>
        <v>0</v>
      </c>
      <c r="E56" s="2"/>
    </row>
    <row r="57" spans="2:5" ht="30" customHeight="1" x14ac:dyDescent="0.3">
      <c r="B57" s="2"/>
      <c r="C57" s="13" t="s">
        <v>16</v>
      </c>
      <c r="D57" s="46">
        <f>SUMIFS('List Income'!$C$3:$C$100000,
        'List Income'!$B$3:$B$100000, 'Yearly income'!$C23,
        'List Income'!$A$3:$A$100000, "&gt;=" &amp; DATE('Cash flow'!$E$3, 4, 1),
        'List Income'!$A$3:$A$100000, "&lt;"  &amp; DATE('Cash flow'!$E$3, 5, 1))</f>
        <v>0</v>
      </c>
      <c r="E57" s="2"/>
    </row>
    <row r="58" spans="2:5" ht="30" customHeight="1" x14ac:dyDescent="0.3">
      <c r="B58" s="2"/>
      <c r="C58" s="13" t="s">
        <v>4</v>
      </c>
      <c r="D58" s="46">
        <f>SUMIFS('List Income'!$C$3:$C$100000,
        'List Income'!$B$3:$B$100000, 'Yearly income'!$C24,
        'List Income'!$A$3:$A$100000, "&gt;=" &amp; DATE('Cash flow'!$E$3, 4, 1),
        'List Income'!$A$3:$A$100000, "&lt;"  &amp; DATE('Cash flow'!$E$3, 5, 1))</f>
        <v>0</v>
      </c>
      <c r="E58" s="2"/>
    </row>
    <row r="59" spans="2:5" ht="30" customHeight="1" x14ac:dyDescent="0.3">
      <c r="B59" s="2"/>
      <c r="C59" s="13" t="s">
        <v>17</v>
      </c>
      <c r="D59" s="46">
        <f>SUMIFS('List Income'!$C$3:$C$100000,
        'List Income'!$B$3:$B$100000, 'Yearly income'!$C25,
        'List Income'!$A$3:$A$100000, "&gt;=" &amp; DATE('Cash flow'!$E$3, 4, 1),
        'List Income'!$A$3:$A$100000, "&lt;"  &amp; DATE('Cash flow'!$E$3, 5, 1))</f>
        <v>0</v>
      </c>
      <c r="E59" s="2"/>
    </row>
    <row r="60" spans="2:5" ht="30" customHeight="1" x14ac:dyDescent="0.3">
      <c r="B60" s="2"/>
      <c r="C60" s="18" t="s">
        <v>2</v>
      </c>
      <c r="D60" s="34">
        <f>SUBTOTAL(109,Income197[Actual])</f>
        <v>0</v>
      </c>
      <c r="E60" s="2"/>
    </row>
    <row r="61" spans="2:5" ht="30" customHeight="1" x14ac:dyDescent="0.3">
      <c r="B61" s="2"/>
      <c r="C61" s="6"/>
      <c r="D61" s="43"/>
      <c r="E61" s="2"/>
    </row>
    <row r="63" spans="2:5" ht="30" customHeight="1" x14ac:dyDescent="0.3">
      <c r="B63" s="2"/>
      <c r="C63" s="6"/>
      <c r="D63" s="43"/>
      <c r="E63" s="2"/>
    </row>
    <row r="64" spans="2:5" ht="30" customHeight="1" thickBot="1" x14ac:dyDescent="0.35">
      <c r="B64" s="2"/>
      <c r="C64" s="21" t="s">
        <v>47</v>
      </c>
      <c r="D64" s="44"/>
      <c r="E64" s="22"/>
    </row>
    <row r="65" spans="2:5" ht="30" customHeight="1" x14ac:dyDescent="0.3">
      <c r="B65" s="2"/>
      <c r="C65" s="6"/>
      <c r="D65" s="43"/>
      <c r="E65" s="2"/>
    </row>
    <row r="66" spans="2:5" ht="30" customHeight="1" x14ac:dyDescent="0.3">
      <c r="B66" s="2"/>
      <c r="C66" s="18" t="s">
        <v>3</v>
      </c>
      <c r="D66" s="45" t="s">
        <v>1</v>
      </c>
      <c r="E66" s="2"/>
    </row>
    <row r="67" spans="2:5" ht="30" customHeight="1" x14ac:dyDescent="0.3">
      <c r="B67" s="2"/>
      <c r="C67" s="13" t="s">
        <v>15</v>
      </c>
      <c r="D67" s="46">
        <f>SUMIFS('List Income'!$C$3:$C$100000,
        'List Income'!$B$3:$B$100000, 'Yearly income'!$C33,
        'List Income'!$A$3:$A$100000, "&gt;=" &amp; DATE('Cash flow'!$E$3, 5, 1),
        'List Income'!$A$3:$A$100000, "&lt;"  &amp; DATE('Cash flow'!$E$3, 6, 1))</f>
        <v>0</v>
      </c>
      <c r="E67" s="2"/>
    </row>
    <row r="68" spans="2:5" ht="30" customHeight="1" x14ac:dyDescent="0.3">
      <c r="B68" s="2"/>
      <c r="C68" s="13" t="s">
        <v>16</v>
      </c>
      <c r="D68" s="46">
        <f>SUMIFS('List Income'!$C$3:$C$100000,
        'List Income'!$B$3:$B$100000, 'Yearly income'!$C34,
        'List Income'!$A$3:$A$100000, "&gt;=" &amp; DATE('Cash flow'!$E$3, 5, 1),
        'List Income'!$A$3:$A$100000, "&lt;"  &amp; DATE('Cash flow'!$E$3, 6, 1))</f>
        <v>0</v>
      </c>
      <c r="E68" s="2"/>
    </row>
    <row r="69" spans="2:5" ht="30" customHeight="1" x14ac:dyDescent="0.3">
      <c r="B69" s="2"/>
      <c r="C69" s="13" t="s">
        <v>4</v>
      </c>
      <c r="D69" s="46">
        <f>SUMIFS('List Income'!$C$3:$C$100000,
        'List Income'!$B$3:$B$100000, 'Yearly income'!$C35,
        'List Income'!$A$3:$A$100000, "&gt;=" &amp; DATE('Cash flow'!$E$3, 5, 1),
        'List Income'!$A$3:$A$100000, "&lt;"  &amp; DATE('Cash flow'!$E$3, 6, 1))</f>
        <v>0</v>
      </c>
      <c r="E69" s="2"/>
    </row>
    <row r="70" spans="2:5" ht="30" customHeight="1" x14ac:dyDescent="0.3">
      <c r="B70" s="2"/>
      <c r="C70" s="13" t="s">
        <v>17</v>
      </c>
      <c r="D70" s="46">
        <f>SUMIFS('List Income'!$C$3:$C$100000,
        'List Income'!$B$3:$B$100000, 'Yearly income'!$C36,
        'List Income'!$A$3:$A$100000, "&gt;=" &amp; DATE('Cash flow'!$E$3, 5, 1),
        'List Income'!$A$3:$A$100000, "&lt;"  &amp; DATE('Cash flow'!$E$3, 6, 1))</f>
        <v>0</v>
      </c>
      <c r="E70" s="2"/>
    </row>
    <row r="71" spans="2:5" ht="30" customHeight="1" x14ac:dyDescent="0.3">
      <c r="B71" s="2"/>
      <c r="C71" s="18" t="s">
        <v>2</v>
      </c>
      <c r="D71" s="34">
        <f>SUBTOTAL(109,Income1978[Actual])</f>
        <v>0</v>
      </c>
      <c r="E71" s="2"/>
    </row>
    <row r="72" spans="2:5" ht="30" customHeight="1" x14ac:dyDescent="0.3">
      <c r="B72" s="2"/>
      <c r="C72" s="6"/>
      <c r="D72" s="43"/>
      <c r="E72" s="2"/>
    </row>
    <row r="74" spans="2:5" ht="30" customHeight="1" x14ac:dyDescent="0.3">
      <c r="B74" s="2"/>
      <c r="C74" s="6"/>
      <c r="D74" s="43"/>
      <c r="E74" s="2"/>
    </row>
    <row r="75" spans="2:5" ht="30" customHeight="1" thickBot="1" x14ac:dyDescent="0.35">
      <c r="B75" s="2"/>
      <c r="C75" s="21" t="s">
        <v>48</v>
      </c>
      <c r="D75" s="44"/>
      <c r="E75" s="22"/>
    </row>
    <row r="76" spans="2:5" ht="30" customHeight="1" x14ac:dyDescent="0.3">
      <c r="B76" s="2"/>
      <c r="C76" s="6"/>
      <c r="D76" s="43"/>
      <c r="E76" s="2"/>
    </row>
    <row r="77" spans="2:5" ht="30" customHeight="1" x14ac:dyDescent="0.3">
      <c r="B77" s="2"/>
      <c r="C77" s="18" t="s">
        <v>3</v>
      </c>
      <c r="D77" s="45" t="s">
        <v>1</v>
      </c>
      <c r="E77" s="2"/>
    </row>
    <row r="78" spans="2:5" ht="30" customHeight="1" x14ac:dyDescent="0.3">
      <c r="B78" s="2"/>
      <c r="C78" s="13" t="s">
        <v>15</v>
      </c>
      <c r="D78" s="46">
        <f>SUMIFS('List Income'!$C$3:$C$100000,
        'List Income'!$B$3:$B$100000, 'Yearly income'!$C44,
        'List Income'!$A$3:$A$100000, "&gt;=" &amp; DATE('Cash flow'!$E$3, 6, 1),
        'List Income'!$A$3:$A$100000, "&lt;"  &amp; DATE('Cash flow'!$E$3, 7, 1))</f>
        <v>0</v>
      </c>
      <c r="E78" s="2"/>
    </row>
    <row r="79" spans="2:5" ht="30" customHeight="1" x14ac:dyDescent="0.3">
      <c r="B79" s="2"/>
      <c r="C79" s="13" t="s">
        <v>16</v>
      </c>
      <c r="D79" s="46">
        <f>SUMIFS('List Income'!$C$3:$C$100000,
        'List Income'!$B$3:$B$100000, 'Yearly income'!$C45,
        'List Income'!$A$3:$A$100000, "&gt;=" &amp; DATE('Cash flow'!$E$3, 6, 1),
        'List Income'!$A$3:$A$100000, "&lt;"  &amp; DATE('Cash flow'!$E$3, 7, 1))</f>
        <v>0</v>
      </c>
      <c r="E79" s="2"/>
    </row>
    <row r="80" spans="2:5" ht="30" customHeight="1" x14ac:dyDescent="0.3">
      <c r="B80" s="2"/>
      <c r="C80" s="13" t="s">
        <v>4</v>
      </c>
      <c r="D80" s="46">
        <f>SUMIFS('List Income'!$C$3:$C$100000,
        'List Income'!$B$3:$B$100000, 'Yearly income'!$C46,
        'List Income'!$A$3:$A$100000, "&gt;=" &amp; DATE('Cash flow'!$E$3, 6, 1),
        'List Income'!$A$3:$A$100000, "&lt;"  &amp; DATE('Cash flow'!$E$3, 7, 1))</f>
        <v>0</v>
      </c>
      <c r="E80" s="2"/>
    </row>
    <row r="81" spans="2:5" ht="30" customHeight="1" x14ac:dyDescent="0.3">
      <c r="B81" s="2"/>
      <c r="C81" s="13" t="s">
        <v>17</v>
      </c>
      <c r="D81" s="46">
        <f>SUMIFS('List Income'!$C$3:$C$100000,
        'List Income'!$B$3:$B$100000, 'Yearly income'!$C47,
        'List Income'!$A$3:$A$100000, "&gt;=" &amp; DATE('Cash flow'!$E$3, 6, 1),
        'List Income'!$A$3:$A$100000, "&lt;"  &amp; DATE('Cash flow'!$E$3, 7, 1))</f>
        <v>0</v>
      </c>
      <c r="E81" s="2"/>
    </row>
    <row r="82" spans="2:5" ht="30" customHeight="1" x14ac:dyDescent="0.3">
      <c r="B82" s="2"/>
      <c r="C82" s="18" t="s">
        <v>2</v>
      </c>
      <c r="D82" s="34">
        <f>SUBTOTAL(109,Income1979[Actual])</f>
        <v>0</v>
      </c>
      <c r="E82" s="2"/>
    </row>
    <row r="83" spans="2:5" ht="30" customHeight="1" x14ac:dyDescent="0.3">
      <c r="B83" s="2"/>
      <c r="C83" s="6"/>
      <c r="D83" s="43"/>
      <c r="E83" s="2"/>
    </row>
    <row r="85" spans="2:5" ht="30" customHeight="1" x14ac:dyDescent="0.3">
      <c r="B85" s="2"/>
      <c r="C85" s="6"/>
      <c r="D85" s="43"/>
      <c r="E85" s="2"/>
    </row>
    <row r="86" spans="2:5" ht="30" customHeight="1" thickBot="1" x14ac:dyDescent="0.35">
      <c r="B86" s="2"/>
      <c r="C86" s="21" t="s">
        <v>49</v>
      </c>
      <c r="D86" s="44"/>
      <c r="E86" s="22"/>
    </row>
    <row r="87" spans="2:5" ht="30" customHeight="1" x14ac:dyDescent="0.3">
      <c r="B87" s="2"/>
      <c r="C87" s="6"/>
      <c r="D87" s="43"/>
      <c r="E87" s="2"/>
    </row>
    <row r="88" spans="2:5" ht="30" customHeight="1" x14ac:dyDescent="0.3">
      <c r="B88" s="2"/>
      <c r="C88" s="18" t="s">
        <v>3</v>
      </c>
      <c r="D88" s="45" t="s">
        <v>1</v>
      </c>
      <c r="E88" s="2"/>
    </row>
    <row r="89" spans="2:5" ht="30" customHeight="1" x14ac:dyDescent="0.3">
      <c r="B89" s="2"/>
      <c r="C89" s="13" t="s">
        <v>15</v>
      </c>
      <c r="D89" s="46">
        <f>SUMIFS('List Income'!$C$3:$C$100000,
        'List Income'!$B$3:$B$100000, 'Yearly income'!$C55,
        'List Income'!$A$3:$A$100000, "&gt;=" &amp; DATE('Cash flow'!$E$3, 7, 1),
        'List Income'!$A$3:$A$100000, "&lt;"  &amp; DATE('Cash flow'!$E$3, 8, 1))</f>
        <v>0</v>
      </c>
      <c r="E89" s="2"/>
    </row>
    <row r="90" spans="2:5" ht="30" customHeight="1" x14ac:dyDescent="0.3">
      <c r="B90" s="2"/>
      <c r="C90" s="13" t="s">
        <v>16</v>
      </c>
      <c r="D90" s="46">
        <f>SUMIFS('List Income'!$C$3:$C$100000,
        'List Income'!$B$3:$B$100000, 'Yearly income'!$C56,
        'List Income'!$A$3:$A$100000, "&gt;=" &amp; DATE('Cash flow'!$E$3, 7, 1),
        'List Income'!$A$3:$A$100000, "&lt;"  &amp; DATE('Cash flow'!$E$3, 8, 1))</f>
        <v>0</v>
      </c>
      <c r="E90" s="2"/>
    </row>
    <row r="91" spans="2:5" ht="30" customHeight="1" x14ac:dyDescent="0.3">
      <c r="B91" s="2"/>
      <c r="C91" s="13" t="s">
        <v>4</v>
      </c>
      <c r="D91" s="46">
        <f>SUMIFS('List Income'!$C$3:$C$100000,
        'List Income'!$B$3:$B$100000, 'Yearly income'!$C57,
        'List Income'!$A$3:$A$100000, "&gt;=" &amp; DATE('Cash flow'!$E$3, 7, 1),
        'List Income'!$A$3:$A$100000, "&lt;"  &amp; DATE('Cash flow'!$E$3, 8, 1))</f>
        <v>0</v>
      </c>
      <c r="E91" s="2"/>
    </row>
    <row r="92" spans="2:5" ht="30" customHeight="1" x14ac:dyDescent="0.3">
      <c r="B92" s="2"/>
      <c r="C92" s="13" t="s">
        <v>17</v>
      </c>
      <c r="D92" s="46">
        <f>SUMIFS('List Income'!$C$3:$C$100000,
        'List Income'!$B$3:$B$100000, 'Yearly income'!$C58,
        'List Income'!$A$3:$A$100000, "&gt;=" &amp; DATE('Cash flow'!$E$3, 7, 1),
        'List Income'!$A$3:$A$100000, "&lt;"  &amp; DATE('Cash flow'!$E$3, 8, 1))</f>
        <v>0</v>
      </c>
      <c r="E92" s="2"/>
    </row>
    <row r="93" spans="2:5" ht="30" customHeight="1" x14ac:dyDescent="0.3">
      <c r="B93" s="2"/>
      <c r="C93" s="18" t="s">
        <v>2</v>
      </c>
      <c r="D93" s="34">
        <f>SUBTOTAL(109,Income19711[Actual])</f>
        <v>0</v>
      </c>
      <c r="E93" s="2"/>
    </row>
    <row r="94" spans="2:5" ht="30" customHeight="1" x14ac:dyDescent="0.3">
      <c r="B94" s="2"/>
      <c r="C94" s="6"/>
      <c r="D94" s="43"/>
      <c r="E94" s="2"/>
    </row>
    <row r="96" spans="2:5" ht="30" customHeight="1" x14ac:dyDescent="0.3">
      <c r="B96" s="2"/>
      <c r="C96" s="6"/>
      <c r="D96" s="43"/>
      <c r="E96" s="2"/>
    </row>
    <row r="97" spans="2:5" ht="30" customHeight="1" thickBot="1" x14ac:dyDescent="0.35">
      <c r="B97" s="2"/>
      <c r="C97" s="21" t="s">
        <v>50</v>
      </c>
      <c r="D97" s="44"/>
      <c r="E97" s="22"/>
    </row>
    <row r="98" spans="2:5" ht="30" customHeight="1" x14ac:dyDescent="0.3">
      <c r="B98" s="2"/>
      <c r="C98" s="6"/>
      <c r="D98" s="43"/>
      <c r="E98" s="2"/>
    </row>
    <row r="99" spans="2:5" ht="30" customHeight="1" x14ac:dyDescent="0.3">
      <c r="B99" s="2"/>
      <c r="C99" s="18" t="s">
        <v>3</v>
      </c>
      <c r="D99" s="45" t="s">
        <v>1</v>
      </c>
      <c r="E99" s="2"/>
    </row>
    <row r="100" spans="2:5" ht="30" customHeight="1" x14ac:dyDescent="0.3">
      <c r="B100" s="2"/>
      <c r="C100" s="13" t="s">
        <v>15</v>
      </c>
      <c r="D100" s="46">
        <f>SUMIFS('List Income'!$C$3:$C$100000,
        'List Income'!$B$3:$B$100000, 'Yearly income'!$C66,
        'List Income'!$A$3:$A$100000, "&gt;=" &amp; DATE('Cash flow'!$E$3, 8, 1),
        'List Income'!$A$3:$A$100000, "&lt;"  &amp; DATE('Cash flow'!$E$3, 9, 1))</f>
        <v>0</v>
      </c>
      <c r="E100" s="2"/>
    </row>
    <row r="101" spans="2:5" ht="30" customHeight="1" x14ac:dyDescent="0.3">
      <c r="B101" s="2"/>
      <c r="C101" s="13" t="s">
        <v>16</v>
      </c>
      <c r="D101" s="46">
        <f>SUMIFS('List Income'!$C$3:$C$100000,
        'List Income'!$B$3:$B$100000, 'Yearly income'!$C67,
        'List Income'!$A$3:$A$100000, "&gt;=" &amp; DATE('Cash flow'!$E$3, 8, 1),
        'List Income'!$A$3:$A$100000, "&lt;"  &amp; DATE('Cash flow'!$E$3, 9, 1))</f>
        <v>0</v>
      </c>
      <c r="E101" s="2"/>
    </row>
    <row r="102" spans="2:5" ht="30" customHeight="1" x14ac:dyDescent="0.3">
      <c r="B102" s="2"/>
      <c r="C102" s="13" t="s">
        <v>4</v>
      </c>
      <c r="D102" s="46">
        <f>SUMIFS('List Income'!$C$3:$C$100000,
        'List Income'!$B$3:$B$100000, 'Yearly income'!$C68,
        'List Income'!$A$3:$A$100000, "&gt;=" &amp; DATE('Cash flow'!$E$3, 8, 1),
        'List Income'!$A$3:$A$100000, "&lt;"  &amp; DATE('Cash flow'!$E$3, 9, 1))</f>
        <v>0</v>
      </c>
      <c r="E102" s="2"/>
    </row>
    <row r="103" spans="2:5" ht="30" customHeight="1" x14ac:dyDescent="0.3">
      <c r="B103" s="2"/>
      <c r="C103" s="13" t="s">
        <v>17</v>
      </c>
      <c r="D103" s="46">
        <f>SUMIFS('List Income'!$C$3:$C$100000,
        'List Income'!$B$3:$B$100000, 'Yearly income'!$C69,
        'List Income'!$A$3:$A$100000, "&gt;=" &amp; DATE('Cash flow'!$E$3, 8, 1),
        'List Income'!$A$3:$A$100000, "&lt;"  &amp; DATE('Cash flow'!$E$3, 9, 1))</f>
        <v>0</v>
      </c>
      <c r="E103" s="2"/>
    </row>
    <row r="104" spans="2:5" ht="30" customHeight="1" x14ac:dyDescent="0.3">
      <c r="B104" s="2"/>
      <c r="C104" s="18" t="s">
        <v>2</v>
      </c>
      <c r="D104" s="34">
        <f>SUBTOTAL(109,Income19712[Actual])</f>
        <v>0</v>
      </c>
      <c r="E104" s="2"/>
    </row>
    <row r="105" spans="2:5" ht="30" customHeight="1" x14ac:dyDescent="0.3">
      <c r="B105" s="2"/>
      <c r="C105" s="6"/>
      <c r="D105" s="43"/>
      <c r="E105" s="2"/>
    </row>
    <row r="107" spans="2:5" ht="30" customHeight="1" x14ac:dyDescent="0.3">
      <c r="B107" s="2"/>
      <c r="C107" s="6"/>
      <c r="D107" s="43"/>
      <c r="E107" s="2"/>
    </row>
    <row r="108" spans="2:5" ht="30" customHeight="1" thickBot="1" x14ac:dyDescent="0.35">
      <c r="B108" s="2"/>
      <c r="C108" s="21" t="s">
        <v>51</v>
      </c>
      <c r="D108" s="44"/>
      <c r="E108" s="22"/>
    </row>
    <row r="109" spans="2:5" ht="30" customHeight="1" x14ac:dyDescent="0.3">
      <c r="B109" s="2"/>
      <c r="C109" s="6"/>
      <c r="D109" s="43"/>
      <c r="E109" s="2"/>
    </row>
    <row r="110" spans="2:5" ht="30" customHeight="1" x14ac:dyDescent="0.3">
      <c r="B110" s="2"/>
      <c r="C110" s="18" t="s">
        <v>3</v>
      </c>
      <c r="D110" s="45" t="s">
        <v>1</v>
      </c>
      <c r="E110" s="2"/>
    </row>
    <row r="111" spans="2:5" ht="30" customHeight="1" x14ac:dyDescent="0.3">
      <c r="B111" s="2"/>
      <c r="C111" s="13" t="s">
        <v>15</v>
      </c>
      <c r="D111" s="46">
        <f>SUMIFS('List Income'!$C$3:$C$100000,
        'List Income'!$B$3:$B$100000, 'Yearly income'!$C77,
        'List Income'!$A$3:$A$100000, "&gt;=" &amp; DATE('Cash flow'!$E$3, 9, 1),
        'List Income'!$A$3:$A$100000, "&lt;"  &amp; DATE('Cash flow'!$E$3, 10, 1))</f>
        <v>0</v>
      </c>
      <c r="E111" s="2"/>
    </row>
    <row r="112" spans="2:5" ht="30" customHeight="1" x14ac:dyDescent="0.3">
      <c r="B112" s="2"/>
      <c r="C112" s="13" t="s">
        <v>16</v>
      </c>
      <c r="D112" s="46">
        <f>SUMIFS('List Income'!$C$3:$C$100000,
        'List Income'!$B$3:$B$100000, 'Yearly income'!$C78,
        'List Income'!$A$3:$A$100000, "&gt;=" &amp; DATE('Cash flow'!$E$3, 9, 1),
        'List Income'!$A$3:$A$100000, "&lt;"  &amp; DATE('Cash flow'!$E$3, 10, 1))</f>
        <v>0</v>
      </c>
      <c r="E112" s="2"/>
    </row>
    <row r="113" spans="2:5" ht="30" customHeight="1" x14ac:dyDescent="0.3">
      <c r="B113" s="2"/>
      <c r="C113" s="13" t="s">
        <v>4</v>
      </c>
      <c r="D113" s="46">
        <f>SUMIFS('List Income'!$C$3:$C$100000,
        'List Income'!$B$3:$B$100000, 'Yearly income'!$C79,
        'List Income'!$A$3:$A$100000, "&gt;=" &amp; DATE('Cash flow'!$E$3, 9, 1),
        'List Income'!$A$3:$A$100000, "&lt;"  &amp; DATE('Cash flow'!$E$3, 10, 1))</f>
        <v>0</v>
      </c>
      <c r="E113" s="2"/>
    </row>
    <row r="114" spans="2:5" ht="30" customHeight="1" x14ac:dyDescent="0.3">
      <c r="B114" s="2"/>
      <c r="C114" s="13" t="s">
        <v>17</v>
      </c>
      <c r="D114" s="46">
        <f>SUMIFS('List Income'!$C$3:$C$100000,
        'List Income'!$B$3:$B$100000, 'Yearly income'!$C80,
        'List Income'!$A$3:$A$100000, "&gt;=" &amp; DATE('Cash flow'!$E$3, 9, 1),
        'List Income'!$A$3:$A$100000, "&lt;"  &amp; DATE('Cash flow'!$E$3, 10, 1))</f>
        <v>0</v>
      </c>
      <c r="E114" s="2"/>
    </row>
    <row r="115" spans="2:5" ht="30" customHeight="1" x14ac:dyDescent="0.3">
      <c r="B115" s="2"/>
      <c r="C115" s="18" t="s">
        <v>2</v>
      </c>
      <c r="D115" s="34">
        <f>SUBTOTAL(109,Income19713[Actual])</f>
        <v>0</v>
      </c>
      <c r="E115" s="2"/>
    </row>
    <row r="116" spans="2:5" ht="30" customHeight="1" x14ac:dyDescent="0.3">
      <c r="B116" s="2"/>
      <c r="C116" s="6"/>
      <c r="D116" s="43"/>
      <c r="E116" s="2"/>
    </row>
    <row r="118" spans="2:5" ht="30" customHeight="1" x14ac:dyDescent="0.3">
      <c r="B118" s="2"/>
      <c r="C118" s="6"/>
      <c r="D118" s="43"/>
      <c r="E118" s="2"/>
    </row>
    <row r="119" spans="2:5" ht="30" customHeight="1" thickBot="1" x14ac:dyDescent="0.35">
      <c r="B119" s="2"/>
      <c r="C119" s="21" t="s">
        <v>19</v>
      </c>
      <c r="D119" s="44"/>
      <c r="E119" s="22"/>
    </row>
    <row r="120" spans="2:5" ht="30" customHeight="1" x14ac:dyDescent="0.3">
      <c r="B120" s="2"/>
      <c r="C120" s="6"/>
      <c r="D120" s="43"/>
      <c r="E120" s="2"/>
    </row>
    <row r="121" spans="2:5" ht="30" customHeight="1" x14ac:dyDescent="0.3">
      <c r="B121" s="2"/>
      <c r="C121" s="18" t="s">
        <v>3</v>
      </c>
      <c r="D121" s="45" t="s">
        <v>1</v>
      </c>
      <c r="E121" s="2"/>
    </row>
    <row r="122" spans="2:5" ht="30" customHeight="1" x14ac:dyDescent="0.3">
      <c r="B122" s="2"/>
      <c r="C122" s="13" t="s">
        <v>15</v>
      </c>
      <c r="D122" s="46">
        <f>SUMIFS('List Income'!$C$3:$C$100000,
        'List Income'!$B$3:$B$100000, 'Yearly income'!$C88,
        'List Income'!$A$3:$A$100000, "&gt;=" &amp; DATE('Cash flow'!$E$3, 10, 1),
        'List Income'!$A$3:$A$100000, "&lt;"  &amp; DATE('Cash flow'!$E$3, 11, 1))</f>
        <v>0</v>
      </c>
      <c r="E122" s="2"/>
    </row>
    <row r="123" spans="2:5" ht="30" customHeight="1" x14ac:dyDescent="0.3">
      <c r="B123" s="2"/>
      <c r="C123" s="13" t="s">
        <v>16</v>
      </c>
      <c r="D123" s="46">
        <f>SUMIFS('List Income'!$C$3:$C$100000,
        'List Income'!$B$3:$B$100000, 'Yearly income'!$C89,
        'List Income'!$A$3:$A$100000, "&gt;=" &amp; DATE('Cash flow'!$E$3, 10, 1),
        'List Income'!$A$3:$A$100000, "&lt;"  &amp; DATE('Cash flow'!$E$3, 11, 1))</f>
        <v>0</v>
      </c>
      <c r="E123" s="2"/>
    </row>
    <row r="124" spans="2:5" ht="30" customHeight="1" x14ac:dyDescent="0.3">
      <c r="B124" s="2"/>
      <c r="C124" s="13" t="s">
        <v>4</v>
      </c>
      <c r="D124" s="46">
        <f>SUMIFS('List Income'!$C$3:$C$100000,
        'List Income'!$B$3:$B$100000, 'Yearly income'!$C90,
        'List Income'!$A$3:$A$100000, "&gt;=" &amp; DATE('Cash flow'!$E$3, 10, 1),
        'List Income'!$A$3:$A$100000, "&lt;"  &amp; DATE('Cash flow'!$E$3, 11, 1))</f>
        <v>0</v>
      </c>
      <c r="E124" s="2"/>
    </row>
    <row r="125" spans="2:5" ht="30" customHeight="1" x14ac:dyDescent="0.3">
      <c r="B125" s="2"/>
      <c r="C125" s="13" t="s">
        <v>17</v>
      </c>
      <c r="D125" s="46">
        <f>SUMIFS('List Income'!$C$3:$C$100000,
        'List Income'!$B$3:$B$100000, 'Yearly income'!$C91,
        'List Income'!$A$3:$A$100000, "&gt;=" &amp; DATE('Cash flow'!$E$3, 10, 1),
        'List Income'!$A$3:$A$100000, "&lt;"  &amp; DATE('Cash flow'!$E$3, 11, 1))</f>
        <v>0</v>
      </c>
      <c r="E125" s="2"/>
    </row>
    <row r="126" spans="2:5" ht="30" customHeight="1" x14ac:dyDescent="0.3">
      <c r="B126" s="2"/>
      <c r="C126" s="18" t="s">
        <v>2</v>
      </c>
      <c r="D126" s="34">
        <f>SUBTOTAL(109,Income19714[Actual])</f>
        <v>0</v>
      </c>
      <c r="E126" s="2"/>
    </row>
    <row r="127" spans="2:5" ht="30" customHeight="1" x14ac:dyDescent="0.3">
      <c r="B127" s="2"/>
      <c r="C127" s="6"/>
      <c r="D127" s="43"/>
      <c r="E127" s="2"/>
    </row>
    <row r="129" spans="2:5" ht="30" customHeight="1" x14ac:dyDescent="0.3">
      <c r="B129" s="2"/>
      <c r="C129" s="6"/>
      <c r="D129" s="43"/>
      <c r="E129" s="2"/>
    </row>
    <row r="130" spans="2:5" ht="30" customHeight="1" thickBot="1" x14ac:dyDescent="0.35">
      <c r="B130" s="2"/>
      <c r="C130" s="21" t="s">
        <v>20</v>
      </c>
      <c r="D130" s="44"/>
      <c r="E130" s="22"/>
    </row>
    <row r="131" spans="2:5" ht="30" customHeight="1" x14ac:dyDescent="0.3">
      <c r="B131" s="2"/>
      <c r="C131" s="6"/>
      <c r="D131" s="43"/>
      <c r="E131" s="2"/>
    </row>
    <row r="132" spans="2:5" ht="30" customHeight="1" x14ac:dyDescent="0.3">
      <c r="B132" s="2"/>
      <c r="C132" s="18" t="s">
        <v>3</v>
      </c>
      <c r="D132" s="45" t="s">
        <v>1</v>
      </c>
      <c r="E132" s="2"/>
    </row>
    <row r="133" spans="2:5" ht="30" customHeight="1" x14ac:dyDescent="0.3">
      <c r="B133" s="2"/>
      <c r="C133" s="13" t="s">
        <v>15</v>
      </c>
      <c r="D133" s="46">
        <f>SUMIFS('List Income'!$C$3:$C$100000,
        'List Income'!$B$3:$B$100000, 'Yearly income'!$C99,
        'List Income'!$A$3:$A$100000, "&gt;=" &amp; DATE('Cash flow'!$E$3, 11, 1),
        'List Income'!$A$3:$A$100000, "&lt;"  &amp; DATE('Cash flow'!$E$3, 12, 1))</f>
        <v>0</v>
      </c>
      <c r="E133" s="2"/>
    </row>
    <row r="134" spans="2:5" ht="30" customHeight="1" x14ac:dyDescent="0.3">
      <c r="B134" s="2"/>
      <c r="C134" s="13" t="s">
        <v>16</v>
      </c>
      <c r="D134" s="46">
        <f>SUMIFS('List Income'!$C$3:$C$100000,
        'List Income'!$B$3:$B$100000, 'Yearly income'!$C100,
        'List Income'!$A$3:$A$100000, "&gt;=" &amp; DATE('Cash flow'!$E$3, 11, 1),
        'List Income'!$A$3:$A$100000, "&lt;"  &amp; DATE('Cash flow'!$E$3, 12, 1))</f>
        <v>0</v>
      </c>
      <c r="E134" s="2"/>
    </row>
    <row r="135" spans="2:5" ht="30" customHeight="1" x14ac:dyDescent="0.3">
      <c r="B135" s="2"/>
      <c r="C135" s="13" t="s">
        <v>4</v>
      </c>
      <c r="D135" s="46">
        <f>SUMIFS('List Income'!$C$3:$C$100000,
        'List Income'!$B$3:$B$100000, 'Yearly income'!$C101,
        'List Income'!$A$3:$A$100000, "&gt;=" &amp; DATE('Cash flow'!$E$3, 11, 1),
        'List Income'!$A$3:$A$100000, "&lt;"  &amp; DATE('Cash flow'!$E$3, 12, 1))</f>
        <v>0</v>
      </c>
      <c r="E135" s="2"/>
    </row>
    <row r="136" spans="2:5" ht="30" customHeight="1" x14ac:dyDescent="0.3">
      <c r="B136" s="2"/>
      <c r="C136" s="13" t="s">
        <v>17</v>
      </c>
      <c r="D136" s="46">
        <f>SUMIFS('List Income'!$C$3:$C$100000,
        'List Income'!$B$3:$B$100000, 'Yearly income'!$C102,
        'List Income'!$A$3:$A$100000, "&gt;=" &amp; DATE('Cash flow'!$E$3, 11, 1),
        'List Income'!$A$3:$A$100000, "&lt;"  &amp; DATE('Cash flow'!$E$3, 12, 1))</f>
        <v>0</v>
      </c>
      <c r="E136" s="2"/>
    </row>
    <row r="137" spans="2:5" ht="30" customHeight="1" x14ac:dyDescent="0.3">
      <c r="B137" s="2"/>
      <c r="C137" s="18" t="s">
        <v>2</v>
      </c>
      <c r="D137" s="34">
        <f>SUBTOTAL(109,Income19715[Actual])</f>
        <v>0</v>
      </c>
      <c r="E137" s="2"/>
    </row>
    <row r="138" spans="2:5" ht="30" customHeight="1" x14ac:dyDescent="0.3">
      <c r="B138" s="2"/>
      <c r="C138" s="6"/>
      <c r="D138" s="43"/>
      <c r="E138" s="2"/>
    </row>
    <row r="140" spans="2:5" ht="30" customHeight="1" x14ac:dyDescent="0.3">
      <c r="B140" s="2"/>
      <c r="C140" s="6"/>
      <c r="D140" s="43"/>
      <c r="E140" s="2"/>
    </row>
    <row r="141" spans="2:5" ht="30" customHeight="1" thickBot="1" x14ac:dyDescent="0.35">
      <c r="B141" s="2"/>
      <c r="C141" s="21" t="s">
        <v>21</v>
      </c>
      <c r="D141" s="44"/>
      <c r="E141" s="22"/>
    </row>
    <row r="142" spans="2:5" ht="30" customHeight="1" x14ac:dyDescent="0.3">
      <c r="B142" s="2"/>
      <c r="C142" s="6"/>
      <c r="D142" s="43"/>
      <c r="E142" s="2"/>
    </row>
    <row r="143" spans="2:5" ht="30" customHeight="1" x14ac:dyDescent="0.3">
      <c r="B143" s="2"/>
      <c r="C143" s="18" t="s">
        <v>3</v>
      </c>
      <c r="D143" s="45" t="s">
        <v>1</v>
      </c>
      <c r="E143" s="2"/>
    </row>
    <row r="144" spans="2:5" ht="30" customHeight="1" x14ac:dyDescent="0.3">
      <c r="B144" s="2"/>
      <c r="C144" s="13" t="s">
        <v>15</v>
      </c>
      <c r="D144" s="46">
        <f>SUMIFS('List Income'!$C$3:$C$100000,
        'List Income'!$B$3:$B$100000, 'Yearly income'!$C110,
        'List Income'!$A$3:$A$100000, "&gt;=" &amp; DATE('Cash flow'!$E$3, 12, 1),
        'List Income'!$A$3:$A$100000, "&lt;"  &amp; DATE('Cash flow'!$E$3+1, 1, 1))</f>
        <v>0</v>
      </c>
      <c r="E144" s="2"/>
    </row>
    <row r="145" spans="2:5" ht="30" customHeight="1" x14ac:dyDescent="0.3">
      <c r="B145" s="2"/>
      <c r="C145" s="13" t="s">
        <v>16</v>
      </c>
      <c r="D145" s="46">
        <f>SUMIFS('List Income'!$C$3:$C$100000,
        'List Income'!$B$3:$B$100000, 'Yearly income'!$C111,
        'List Income'!$A$3:$A$100000, "&gt;=" &amp; DATE('Cash flow'!$E$3, 12, 1),
        'List Income'!$A$3:$A$100000, "&lt;"  &amp; DATE('Cash flow'!$E$3+1, 1, 1))</f>
        <v>0</v>
      </c>
      <c r="E145" s="2"/>
    </row>
    <row r="146" spans="2:5" ht="30" customHeight="1" x14ac:dyDescent="0.3">
      <c r="B146" s="2"/>
      <c r="C146" s="13" t="s">
        <v>4</v>
      </c>
      <c r="D146" s="46">
        <f>SUMIFS('List Income'!$C$3:$C$100000,
        'List Income'!$B$3:$B$100000, 'Yearly income'!$C112,
        'List Income'!$A$3:$A$100000, "&gt;=" &amp; DATE('Cash flow'!$E$3, 12, 1),
        'List Income'!$A$3:$A$100000, "&lt;"  &amp; DATE('Cash flow'!$E$3+1, 1, 1))</f>
        <v>0</v>
      </c>
      <c r="E146" s="2"/>
    </row>
    <row r="147" spans="2:5" ht="30" customHeight="1" x14ac:dyDescent="0.3">
      <c r="B147" s="2"/>
      <c r="C147" s="13" t="s">
        <v>17</v>
      </c>
      <c r="D147" s="46">
        <f>SUMIFS('List Income'!$C$3:$C$100000,
        'List Income'!$B$3:$B$100000, 'Yearly income'!$C113,
        'List Income'!$A$3:$A$100000, "&gt;=" &amp; DATE('Cash flow'!$E$3, 12, 1),
        'List Income'!$A$3:$A$100000, "&lt;"  &amp; DATE('Cash flow'!$E$3+1, 1, 1))</f>
        <v>0</v>
      </c>
      <c r="E147" s="2"/>
    </row>
    <row r="148" spans="2:5" ht="30" customHeight="1" x14ac:dyDescent="0.3">
      <c r="B148" s="2"/>
      <c r="C148" s="18" t="s">
        <v>2</v>
      </c>
      <c r="D148" s="34">
        <f>SUBTOTAL(109,Income19716[Actual])</f>
        <v>0</v>
      </c>
      <c r="E148" s="2"/>
    </row>
    <row r="149" spans="2:5" ht="30" customHeight="1" x14ac:dyDescent="0.3">
      <c r="B149" s="2"/>
      <c r="C149" s="6"/>
      <c r="D149" s="43"/>
      <c r="E149" s="2"/>
    </row>
  </sheetData>
  <phoneticPr fontId="23" type="noConversion"/>
  <dataValidations count="4">
    <dataValidation allowBlank="1" showInputMessage="1" showErrorMessage="1" prompt="Enter Monthly Income in this worksheet" sqref="A18" xr:uid="{00000000-0002-0000-0100-000000000000}"/>
    <dataValidation allowBlank="1" showInputMessage="1" showErrorMessage="1" prompt="Enter Monthly Income in this column under this heading. Use heading filters to find specific entries" sqref="C22:D22 C33:D33 C44:D44 C55:D55 C66:D66 C77:D77 C88:D88 C99:D99 C110:D110 C121:D121 C132:D132 C143:D143" xr:uid="{00000000-0002-0000-0100-000002000000}"/>
    <dataValidation allowBlank="1" showInputMessage="1" showErrorMessage="1" prompt="Enter Actual income in this column under this heading" sqref="D22 D33 D44 D55 D66 D77 D88 D99 D110 D121 D132 D143" xr:uid="{00000000-0002-0000-0100-000004000000}"/>
    <dataValidation allowBlank="1" showInputMessage="1" showErrorMessage="1" prompt="Enter Month in this cell" sqref="C20 C31 C42 C53 C64 C75 C86 C97 C108 C119 C130 C141" xr:uid="{269E6502-3BE7-6148-8479-B989ACFF5BD1}"/>
  </dataValidations>
  <printOptions horizontalCentered="1"/>
  <pageMargins left="0.7" right="0.7" top="0.75" bottom="0.75" header="0.3" footer="0.3"/>
  <pageSetup scale="95" fitToHeight="0" orientation="portrait" r:id="rId1"/>
  <headerFooter differentFirst="1">
    <oddFooter>Page &amp;P of &amp;N</oddFooter>
  </headerFooter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/>
    <pageSetUpPr fitToPage="1"/>
  </sheetPr>
  <dimension ref="B1:E274"/>
  <sheetViews>
    <sheetView showGridLines="0" topLeftCell="A253" zoomScale="80" zoomScaleNormal="100" workbookViewId="0">
      <selection activeCell="L50" sqref="L50"/>
    </sheetView>
  </sheetViews>
  <sheetFormatPr defaultColWidth="9" defaultRowHeight="30" customHeight="1" x14ac:dyDescent="0.3"/>
  <cols>
    <col min="1" max="2" width="2.5" customWidth="1"/>
    <col min="3" max="3" width="40.83203125" style="37" customWidth="1"/>
    <col min="4" max="4" width="15.83203125" style="38" customWidth="1"/>
    <col min="5" max="6" width="2.5" customWidth="1"/>
  </cols>
  <sheetData>
    <row r="1" spans="2:5" ht="18" customHeight="1" x14ac:dyDescent="0.3">
      <c r="C1" s="8"/>
      <c r="D1" s="1"/>
    </row>
    <row r="2" spans="2:5" ht="18" customHeight="1" x14ac:dyDescent="0.3">
      <c r="B2" s="2"/>
      <c r="C2" s="7"/>
      <c r="D2" s="3"/>
      <c r="E2" s="2"/>
    </row>
    <row r="3" spans="2:5" ht="70" customHeight="1" thickBot="1" x14ac:dyDescent="0.35">
      <c r="B3" s="2"/>
      <c r="C3" s="53" t="s">
        <v>26</v>
      </c>
      <c r="D3" s="53"/>
      <c r="E3" s="2"/>
    </row>
    <row r="4" spans="2:5" ht="18" customHeight="1" x14ac:dyDescent="0.3">
      <c r="B4" s="2"/>
      <c r="C4" s="9"/>
      <c r="D4" s="10"/>
      <c r="E4" s="2"/>
    </row>
    <row r="5" spans="2:5" ht="30" customHeight="1" x14ac:dyDescent="0.3">
      <c r="B5" s="2"/>
      <c r="C5" s="17" t="s">
        <v>14</v>
      </c>
      <c r="D5" s="14" t="s">
        <v>1</v>
      </c>
      <c r="E5" s="2"/>
    </row>
    <row r="6" spans="2:5" ht="30" customHeight="1" x14ac:dyDescent="0.3">
      <c r="B6" s="2"/>
      <c r="C6" s="30" t="s">
        <v>22</v>
      </c>
      <c r="D6" s="31">
        <f>SUM(D28+D49+D70)</f>
        <v>0</v>
      </c>
      <c r="E6" s="2"/>
    </row>
    <row r="7" spans="2:5" ht="30" customHeight="1" x14ac:dyDescent="0.3">
      <c r="B7" s="2"/>
      <c r="C7" s="30" t="s">
        <v>5</v>
      </c>
      <c r="D7" s="31">
        <f t="shared" ref="D7:D19" si="0">SUM(D29+D50+D71)</f>
        <v>0</v>
      </c>
      <c r="E7" s="2"/>
    </row>
    <row r="8" spans="2:5" ht="30" customHeight="1" x14ac:dyDescent="0.3">
      <c r="B8" s="2"/>
      <c r="C8" s="30" t="s">
        <v>41</v>
      </c>
      <c r="D8" s="31">
        <f t="shared" si="0"/>
        <v>0</v>
      </c>
      <c r="E8" s="2"/>
    </row>
    <row r="9" spans="2:5" ht="30" customHeight="1" x14ac:dyDescent="0.3">
      <c r="B9" s="2"/>
      <c r="C9" s="30" t="s">
        <v>23</v>
      </c>
      <c r="D9" s="31">
        <f t="shared" si="0"/>
        <v>0</v>
      </c>
      <c r="E9" s="2"/>
    </row>
    <row r="10" spans="2:5" ht="30" customHeight="1" x14ac:dyDescent="0.3">
      <c r="B10" s="2"/>
      <c r="C10" s="30" t="s">
        <v>24</v>
      </c>
      <c r="D10" s="31">
        <f t="shared" si="0"/>
        <v>0</v>
      </c>
      <c r="E10" s="2"/>
    </row>
    <row r="11" spans="2:5" ht="30" customHeight="1" x14ac:dyDescent="0.3">
      <c r="B11" s="2"/>
      <c r="C11" s="30" t="s">
        <v>25</v>
      </c>
      <c r="D11" s="31">
        <f t="shared" si="0"/>
        <v>0</v>
      </c>
      <c r="E11" s="2"/>
    </row>
    <row r="12" spans="2:5" ht="30" customHeight="1" x14ac:dyDescent="0.3">
      <c r="B12" s="2"/>
      <c r="C12" s="32" t="s">
        <v>34</v>
      </c>
      <c r="D12" s="31">
        <f t="shared" si="0"/>
        <v>0</v>
      </c>
      <c r="E12" s="2"/>
    </row>
    <row r="13" spans="2:5" ht="30" customHeight="1" x14ac:dyDescent="0.3">
      <c r="B13" s="2"/>
      <c r="C13" s="32" t="s">
        <v>6</v>
      </c>
      <c r="D13" s="31">
        <f t="shared" si="0"/>
        <v>0</v>
      </c>
      <c r="E13" s="2"/>
    </row>
    <row r="14" spans="2:5" ht="30" customHeight="1" x14ac:dyDescent="0.3">
      <c r="B14" s="2"/>
      <c r="C14" s="32" t="s">
        <v>12</v>
      </c>
      <c r="D14" s="31">
        <f t="shared" si="0"/>
        <v>0</v>
      </c>
      <c r="E14" s="2"/>
    </row>
    <row r="15" spans="2:5" ht="30" customHeight="1" x14ac:dyDescent="0.3">
      <c r="B15" s="2"/>
      <c r="C15" s="32" t="s">
        <v>13</v>
      </c>
      <c r="D15" s="31">
        <f t="shared" si="0"/>
        <v>0</v>
      </c>
      <c r="E15" s="2"/>
    </row>
    <row r="16" spans="2:5" ht="30" customHeight="1" x14ac:dyDescent="0.3">
      <c r="B16" s="2"/>
      <c r="C16" s="32" t="s">
        <v>7</v>
      </c>
      <c r="D16" s="31">
        <f t="shared" si="0"/>
        <v>0</v>
      </c>
      <c r="E16" s="2"/>
    </row>
    <row r="17" spans="2:5" ht="30" customHeight="1" x14ac:dyDescent="0.3">
      <c r="B17" s="2"/>
      <c r="C17" s="32" t="s">
        <v>32</v>
      </c>
      <c r="D17" s="31">
        <f t="shared" si="0"/>
        <v>0</v>
      </c>
      <c r="E17" s="2"/>
    </row>
    <row r="18" spans="2:5" ht="30" customHeight="1" x14ac:dyDescent="0.3">
      <c r="B18" s="2"/>
      <c r="C18" s="32" t="s">
        <v>8</v>
      </c>
      <c r="D18" s="31">
        <f t="shared" si="0"/>
        <v>0</v>
      </c>
      <c r="E18" s="2"/>
    </row>
    <row r="19" spans="2:5" ht="30" customHeight="1" x14ac:dyDescent="0.3">
      <c r="B19" s="2"/>
      <c r="C19" s="32" t="s">
        <v>9</v>
      </c>
      <c r="D19" s="31">
        <f t="shared" si="0"/>
        <v>0</v>
      </c>
      <c r="E19" s="2"/>
    </row>
    <row r="20" spans="2:5" ht="30" customHeight="1" x14ac:dyDescent="0.3">
      <c r="B20" s="2"/>
      <c r="C20" s="33" t="s">
        <v>11</v>
      </c>
      <c r="D20" s="34">
        <f>SUBTOTAL(109,Expenses[Actual])</f>
        <v>0</v>
      </c>
      <c r="E20" s="2"/>
    </row>
    <row r="21" spans="2:5" ht="30" customHeight="1" x14ac:dyDescent="0.3">
      <c r="B21" s="2"/>
      <c r="C21" s="35"/>
      <c r="D21" s="36"/>
      <c r="E21" s="2"/>
    </row>
    <row r="24" spans="2:5" ht="30" customHeight="1" x14ac:dyDescent="0.3">
      <c r="B24" s="2"/>
      <c r="C24" s="35"/>
      <c r="D24" s="36"/>
      <c r="E24" s="2"/>
    </row>
    <row r="25" spans="2:5" ht="30" customHeight="1" thickBot="1" x14ac:dyDescent="0.35">
      <c r="B25" s="2"/>
      <c r="C25" s="54" t="s">
        <v>52</v>
      </c>
      <c r="D25" s="54"/>
      <c r="E25" s="2"/>
    </row>
    <row r="26" spans="2:5" ht="30" customHeight="1" x14ac:dyDescent="0.3">
      <c r="B26" s="2"/>
      <c r="C26" s="39"/>
      <c r="D26" s="40"/>
      <c r="E26" s="2"/>
    </row>
    <row r="27" spans="2:5" ht="30" customHeight="1" x14ac:dyDescent="0.3">
      <c r="B27" s="2"/>
      <c r="C27" s="33" t="s">
        <v>14</v>
      </c>
      <c r="D27" s="41" t="s">
        <v>1</v>
      </c>
      <c r="E27" s="2"/>
    </row>
    <row r="28" spans="2:5" ht="30" customHeight="1" x14ac:dyDescent="0.3">
      <c r="B28" s="2"/>
      <c r="C28" s="30" t="s">
        <v>22</v>
      </c>
      <c r="D28" s="31">
        <f>SUMIFS('List Expenses'!$C$3:$C$100000,
        'List Expenses'!$B$3:$B$100000, 'Yearly expenses'!$C6,
        'List Expenses'!$A$3:$A$100000, "&gt;=" &amp; DATE('Cash flow'!$E$3, 1, 1),
        'List Expenses'!$A$3:$A$100000, "&lt;"  &amp; DATE('Cash flow'!$E$3, 2, 1))</f>
        <v>0</v>
      </c>
      <c r="E28" s="2"/>
    </row>
    <row r="29" spans="2:5" ht="30" customHeight="1" x14ac:dyDescent="0.3">
      <c r="B29" s="2"/>
      <c r="C29" s="30" t="s">
        <v>5</v>
      </c>
      <c r="D29" s="31">
        <f>SUMIFS('List Expenses'!$C$3:$C$100000,
        'List Expenses'!$B$3:$B$100000, 'Yearly expenses'!$C7,
        'List Expenses'!$A$3:$A$100000, "&gt;=" &amp; DATE('Cash flow'!$E$3, 1, 1),
        'List Expenses'!$A$3:$A$100000, "&lt;"  &amp; DATE('Cash flow'!$E$3, 2, 1))</f>
        <v>0</v>
      </c>
      <c r="E29" s="2"/>
    </row>
    <row r="30" spans="2:5" ht="30" customHeight="1" x14ac:dyDescent="0.3">
      <c r="B30" s="2"/>
      <c r="C30" s="30" t="s">
        <v>41</v>
      </c>
      <c r="D30" s="31">
        <f>SUMIFS('List Expenses'!$C$3:$C$100000,
        'List Expenses'!$B$3:$B$100000, 'Yearly expenses'!$C8,
        'List Expenses'!$A$3:$A$100000, "&gt;=" &amp; DATE('Cash flow'!$E$3, 1, 1),
        'List Expenses'!$A$3:$A$100000, "&lt;"  &amp; DATE('Cash flow'!$E$3, 2, 1))</f>
        <v>0</v>
      </c>
      <c r="E30" s="2"/>
    </row>
    <row r="31" spans="2:5" ht="30" customHeight="1" x14ac:dyDescent="0.3">
      <c r="B31" s="2"/>
      <c r="C31" s="30" t="s">
        <v>23</v>
      </c>
      <c r="D31" s="31">
        <f>SUMIFS('List Expenses'!$C$3:$C$100000,
        'List Expenses'!$B$3:$B$100000, 'Yearly expenses'!$C9,
        'List Expenses'!$A$3:$A$100000, "&gt;=" &amp; DATE('Cash flow'!$E$3, 1, 1),
        'List Expenses'!$A$3:$A$100000, "&lt;"  &amp; DATE('Cash flow'!$E$3, 2, 1))</f>
        <v>0</v>
      </c>
      <c r="E31" s="2"/>
    </row>
    <row r="32" spans="2:5" ht="30" customHeight="1" x14ac:dyDescent="0.3">
      <c r="B32" s="2"/>
      <c r="C32" s="30" t="s">
        <v>24</v>
      </c>
      <c r="D32" s="31">
        <f>SUMIFS('List Expenses'!$C$3:$C$100000,
        'List Expenses'!$B$3:$B$100000, 'Yearly expenses'!$C10,
        'List Expenses'!$A$3:$A$100000, "&gt;=" &amp; DATE('Cash flow'!$E$3, 1, 1),
        'List Expenses'!$A$3:$A$100000, "&lt;"  &amp; DATE('Cash flow'!$E$3, 2, 1))</f>
        <v>0</v>
      </c>
      <c r="E32" s="2"/>
    </row>
    <row r="33" spans="2:5" ht="30" customHeight="1" x14ac:dyDescent="0.3">
      <c r="B33" s="2"/>
      <c r="C33" s="30" t="s">
        <v>25</v>
      </c>
      <c r="D33" s="31">
        <f>SUMIFS('List Expenses'!$C$3:$C$100000,
        'List Expenses'!$B$3:$B$100000, 'Yearly expenses'!$C11,
        'List Expenses'!$A$3:$A$100000, "&gt;=" &amp; DATE('Cash flow'!$E$3, 1, 1),
        'List Expenses'!$A$3:$A$100000, "&lt;"  &amp; DATE('Cash flow'!$E$3, 2, 1))</f>
        <v>0</v>
      </c>
      <c r="E33" s="2"/>
    </row>
    <row r="34" spans="2:5" ht="30" customHeight="1" x14ac:dyDescent="0.3">
      <c r="B34" s="2"/>
      <c r="C34" s="32" t="s">
        <v>34</v>
      </c>
      <c r="D34" s="31">
        <f>SUMIFS('List Expenses'!$C$3:$C$100000,
        'List Expenses'!$B$3:$B$100000, 'Yearly expenses'!$C12,
        'List Expenses'!$A$3:$A$100000, "&gt;=" &amp; DATE('Cash flow'!$E$3, 1, 1),
        'List Expenses'!$A$3:$A$100000, "&lt;"  &amp; DATE('Cash flow'!$E$3, 2, 1))</f>
        <v>0</v>
      </c>
      <c r="E34" s="2"/>
    </row>
    <row r="35" spans="2:5" ht="30" customHeight="1" x14ac:dyDescent="0.3">
      <c r="B35" s="2"/>
      <c r="C35" s="32" t="s">
        <v>6</v>
      </c>
      <c r="D35" s="31">
        <f>SUMIFS('List Expenses'!$C$3:$C$100000,
        'List Expenses'!$B$3:$B$100000, 'Yearly expenses'!$C13,
        'List Expenses'!$A$3:$A$100000, "&gt;=" &amp; DATE('Cash flow'!$E$3, 1, 1),
        'List Expenses'!$A$3:$A$100000, "&lt;"  &amp; DATE('Cash flow'!$E$3, 2, 1))</f>
        <v>0</v>
      </c>
      <c r="E35" s="2"/>
    </row>
    <row r="36" spans="2:5" ht="30" customHeight="1" x14ac:dyDescent="0.3">
      <c r="B36" s="2"/>
      <c r="C36" s="32" t="s">
        <v>12</v>
      </c>
      <c r="D36" s="31">
        <f>SUMIFS('List Expenses'!$C$3:$C$100000,
        'List Expenses'!$B$3:$B$100000, 'Yearly expenses'!$C14,
        'List Expenses'!$A$3:$A$100000, "&gt;=" &amp; DATE('Cash flow'!$E$3, 1, 1),
        'List Expenses'!$A$3:$A$100000, "&lt;"  &amp; DATE('Cash flow'!$E$3, 2, 1))</f>
        <v>0</v>
      </c>
      <c r="E36" s="2"/>
    </row>
    <row r="37" spans="2:5" ht="30" customHeight="1" x14ac:dyDescent="0.3">
      <c r="B37" s="2"/>
      <c r="C37" s="32" t="s">
        <v>13</v>
      </c>
      <c r="D37" s="31">
        <f>SUMIFS('List Expenses'!$C$3:$C$100000,
        'List Expenses'!$B$3:$B$100000, 'Yearly expenses'!$C15,
        'List Expenses'!$A$3:$A$100000, "&gt;=" &amp; DATE('Cash flow'!$E$3, 1, 1),
        'List Expenses'!$A$3:$A$100000, "&lt;"  &amp; DATE('Cash flow'!$E$3, 2, 1))</f>
        <v>0</v>
      </c>
      <c r="E37" s="2"/>
    </row>
    <row r="38" spans="2:5" ht="30" customHeight="1" x14ac:dyDescent="0.3">
      <c r="B38" s="2"/>
      <c r="C38" s="32" t="s">
        <v>7</v>
      </c>
      <c r="D38" s="31">
        <f>SUMIFS('List Expenses'!$C$3:$C$100000,
        'List Expenses'!$B$3:$B$100000, 'Yearly expenses'!$C16,
        'List Expenses'!$A$3:$A$100000, "&gt;=" &amp; DATE('Cash flow'!$E$3, 1, 1),
        'List Expenses'!$A$3:$A$100000, "&lt;"  &amp; DATE('Cash flow'!$E$3, 2, 1))</f>
        <v>0</v>
      </c>
      <c r="E38" s="2"/>
    </row>
    <row r="39" spans="2:5" ht="30" customHeight="1" x14ac:dyDescent="0.3">
      <c r="B39" s="2"/>
      <c r="C39" s="32" t="s">
        <v>32</v>
      </c>
      <c r="D39" s="31">
        <f>SUMIFS('List Expenses'!$C$3:$C$100000,
        'List Expenses'!$B$3:$B$100000, 'Yearly expenses'!$C17,
        'List Expenses'!$A$3:$A$100000, "&gt;=" &amp; DATE('Cash flow'!$E$3, 1, 1),
        'List Expenses'!$A$3:$A$100000, "&lt;"  &amp; DATE('Cash flow'!$E$3, 2, 1))</f>
        <v>0</v>
      </c>
      <c r="E39" s="2"/>
    </row>
    <row r="40" spans="2:5" ht="30" customHeight="1" x14ac:dyDescent="0.3">
      <c r="B40" s="2"/>
      <c r="C40" s="32" t="s">
        <v>8</v>
      </c>
      <c r="D40" s="31">
        <f>SUMIFS('List Expenses'!$C$3:$C$100000,
        'List Expenses'!$B$3:$B$100000, 'Yearly expenses'!$C18,
        'List Expenses'!$A$3:$A$100000, "&gt;=" &amp; DATE('Cash flow'!$E$3, 1, 1),
        'List Expenses'!$A$3:$A$100000, "&lt;"  &amp; DATE('Cash flow'!$E$3, 2, 1))</f>
        <v>0</v>
      </c>
      <c r="E40" s="2"/>
    </row>
    <row r="41" spans="2:5" ht="30" customHeight="1" x14ac:dyDescent="0.3">
      <c r="B41" s="2"/>
      <c r="C41" s="32" t="s">
        <v>9</v>
      </c>
      <c r="D41" s="31">
        <f>SUMIFS('List Expenses'!$C$3:$C$100000,
        'List Expenses'!$B$3:$B$100000, 'Yearly expenses'!$C19,
        'List Expenses'!$A$3:$A$100000, "&gt;=" &amp; DATE('Cash flow'!$E$3, 1, 1),
        'List Expenses'!$A$3:$A$100000, "&lt;"  &amp; DATE('Cash flow'!$E$3, 2, 1))</f>
        <v>0</v>
      </c>
      <c r="E41" s="2"/>
    </row>
    <row r="42" spans="2:5" ht="30" customHeight="1" x14ac:dyDescent="0.3">
      <c r="B42" s="2"/>
      <c r="C42" s="33" t="s">
        <v>11</v>
      </c>
      <c r="D42" s="34">
        <f>SUBTOTAL(109,Expenses2[Actual])</f>
        <v>0</v>
      </c>
      <c r="E42" s="2"/>
    </row>
    <row r="43" spans="2:5" ht="30" customHeight="1" x14ac:dyDescent="0.3">
      <c r="B43" s="2"/>
      <c r="C43" s="7"/>
      <c r="D43" s="3"/>
      <c r="E43" s="2"/>
    </row>
    <row r="44" spans="2:5" ht="30" customHeight="1" x14ac:dyDescent="0.3">
      <c r="C44" s="8"/>
      <c r="D44" s="1"/>
    </row>
    <row r="45" spans="2:5" ht="30" customHeight="1" x14ac:dyDescent="0.3">
      <c r="B45" s="2"/>
      <c r="C45" s="7"/>
      <c r="D45" s="3"/>
      <c r="E45" s="2"/>
    </row>
    <row r="46" spans="2:5" ht="30" customHeight="1" thickBot="1" x14ac:dyDescent="0.35">
      <c r="B46" s="2"/>
      <c r="C46" s="53" t="s">
        <v>53</v>
      </c>
      <c r="D46" s="53"/>
      <c r="E46" s="2"/>
    </row>
    <row r="47" spans="2:5" ht="30" customHeight="1" x14ac:dyDescent="0.3">
      <c r="B47" s="2"/>
      <c r="C47" s="9"/>
      <c r="D47" s="10"/>
      <c r="E47" s="2"/>
    </row>
    <row r="48" spans="2:5" ht="30" customHeight="1" x14ac:dyDescent="0.3">
      <c r="B48" s="2"/>
      <c r="C48" s="17" t="s">
        <v>14</v>
      </c>
      <c r="D48" s="14" t="s">
        <v>1</v>
      </c>
      <c r="E48" s="2"/>
    </row>
    <row r="49" spans="2:5" ht="30" customHeight="1" x14ac:dyDescent="0.3">
      <c r="B49" s="2"/>
      <c r="C49" s="30" t="s">
        <v>22</v>
      </c>
      <c r="D49" s="31">
        <f>SUMIFS('List Expenses'!$C$3:$C$100000,
        'List Expenses'!$B$3:$B$100000, 'Yearly expenses'!$C6,
        'List Expenses'!$A$3:$A$100000, "&gt;=" &amp; DATE('Cash flow'!$E$3, 2, 1),
        'List Expenses'!$A$3:$A$100000, "&lt;"  &amp; DATE('Cash flow'!$E$3, 3, 1))</f>
        <v>0</v>
      </c>
      <c r="E49" s="2"/>
    </row>
    <row r="50" spans="2:5" ht="30" customHeight="1" x14ac:dyDescent="0.3">
      <c r="B50" s="2"/>
      <c r="C50" s="30" t="s">
        <v>5</v>
      </c>
      <c r="D50" s="31">
        <f>SUMIFS('List Expenses'!$C$3:$C$100000,
        'List Expenses'!$B$3:$B$100000, 'Yearly expenses'!$C7,
        'List Expenses'!$A$3:$A$100000, "&gt;=" &amp; DATE('Cash flow'!$E$3, 2, 1),
        'List Expenses'!$A$3:$A$100000, "&lt;"  &amp; DATE('Cash flow'!$E$3, 3, 1))</f>
        <v>0</v>
      </c>
      <c r="E50" s="2"/>
    </row>
    <row r="51" spans="2:5" ht="30" customHeight="1" x14ac:dyDescent="0.3">
      <c r="B51" s="2"/>
      <c r="C51" s="30" t="s">
        <v>41</v>
      </c>
      <c r="D51" s="31">
        <f>SUMIFS('List Expenses'!$C$3:$C$100000,
        'List Expenses'!$B$3:$B$100000, 'Yearly expenses'!$C8,
        'List Expenses'!$A$3:$A$100000, "&gt;=" &amp; DATE('Cash flow'!$E$3, 2, 1),
        'List Expenses'!$A$3:$A$100000, "&lt;"  &amp; DATE('Cash flow'!$E$3, 3, 1))</f>
        <v>0</v>
      </c>
      <c r="E51" s="2"/>
    </row>
    <row r="52" spans="2:5" ht="30" customHeight="1" x14ac:dyDescent="0.3">
      <c r="B52" s="2"/>
      <c r="C52" s="30" t="s">
        <v>23</v>
      </c>
      <c r="D52" s="31">
        <f>SUMIFS('List Expenses'!$C$3:$C$100000,
        'List Expenses'!$B$3:$B$100000, 'Yearly expenses'!$C9,
        'List Expenses'!$A$3:$A$100000, "&gt;=" &amp; DATE('Cash flow'!$E$3, 2, 1),
        'List Expenses'!$A$3:$A$100000, "&lt;"  &amp; DATE('Cash flow'!$E$3, 3, 1))</f>
        <v>0</v>
      </c>
      <c r="E52" s="2"/>
    </row>
    <row r="53" spans="2:5" ht="30" customHeight="1" x14ac:dyDescent="0.3">
      <c r="B53" s="2"/>
      <c r="C53" s="30" t="s">
        <v>24</v>
      </c>
      <c r="D53" s="31">
        <f>SUMIFS('List Expenses'!$C$3:$C$100000,
        'List Expenses'!$B$3:$B$100000, 'Yearly expenses'!$C10,
        'List Expenses'!$A$3:$A$100000, "&gt;=" &amp; DATE('Cash flow'!$E$3, 2, 1),
        'List Expenses'!$A$3:$A$100000, "&lt;"  &amp; DATE('Cash flow'!$E$3, 3, 1))</f>
        <v>0</v>
      </c>
      <c r="E53" s="2"/>
    </row>
    <row r="54" spans="2:5" ht="30" customHeight="1" x14ac:dyDescent="0.3">
      <c r="B54" s="2"/>
      <c r="C54" s="30" t="s">
        <v>25</v>
      </c>
      <c r="D54" s="31">
        <f>SUMIFS('List Expenses'!$C$3:$C$100000,
        'List Expenses'!$B$3:$B$100000, 'Yearly expenses'!$C11,
        'List Expenses'!$A$3:$A$100000, "&gt;=" &amp; DATE('Cash flow'!$E$3, 2, 1),
        'List Expenses'!$A$3:$A$100000, "&lt;"  &amp; DATE('Cash flow'!$E$3, 3, 1))</f>
        <v>0</v>
      </c>
      <c r="E54" s="2"/>
    </row>
    <row r="55" spans="2:5" ht="30" customHeight="1" x14ac:dyDescent="0.3">
      <c r="B55" s="2"/>
      <c r="C55" s="32" t="s">
        <v>34</v>
      </c>
      <c r="D55" s="31">
        <f>SUMIFS('List Expenses'!$C$3:$C$100000,
        'List Expenses'!$B$3:$B$100000, 'Yearly expenses'!$C12,
        'List Expenses'!$A$3:$A$100000, "&gt;=" &amp; DATE('Cash flow'!$E$3, 2, 1),
        'List Expenses'!$A$3:$A$100000, "&lt;"  &amp; DATE('Cash flow'!$E$3, 3, 1))</f>
        <v>0</v>
      </c>
      <c r="E55" s="2"/>
    </row>
    <row r="56" spans="2:5" ht="30" customHeight="1" x14ac:dyDescent="0.3">
      <c r="B56" s="2"/>
      <c r="C56" s="32" t="s">
        <v>6</v>
      </c>
      <c r="D56" s="31">
        <f>SUMIFS('List Expenses'!$C$3:$C$100000,
        'List Expenses'!$B$3:$B$100000, 'Yearly expenses'!$C13,
        'List Expenses'!$A$3:$A$100000, "&gt;=" &amp; DATE('Cash flow'!$E$3, 2, 1),
        'List Expenses'!$A$3:$A$100000, "&lt;"  &amp; DATE('Cash flow'!$E$3, 3, 1))</f>
        <v>0</v>
      </c>
      <c r="E56" s="2"/>
    </row>
    <row r="57" spans="2:5" ht="30" customHeight="1" x14ac:dyDescent="0.3">
      <c r="B57" s="2"/>
      <c r="C57" s="32" t="s">
        <v>12</v>
      </c>
      <c r="D57" s="31">
        <f>SUMIFS('List Expenses'!$C$3:$C$100000,
        'List Expenses'!$B$3:$B$100000, 'Yearly expenses'!$C14,
        'List Expenses'!$A$3:$A$100000, "&gt;=" &amp; DATE('Cash flow'!$E$3, 2, 1),
        'List Expenses'!$A$3:$A$100000, "&lt;"  &amp; DATE('Cash flow'!$E$3, 3, 1))</f>
        <v>0</v>
      </c>
      <c r="E57" s="2"/>
    </row>
    <row r="58" spans="2:5" ht="30" customHeight="1" x14ac:dyDescent="0.3">
      <c r="B58" s="2"/>
      <c r="C58" s="32" t="s">
        <v>13</v>
      </c>
      <c r="D58" s="31">
        <f>SUMIFS('List Expenses'!$C$3:$C$100000,
        'List Expenses'!$B$3:$B$100000, 'Yearly expenses'!$C15,
        'List Expenses'!$A$3:$A$100000, "&gt;=" &amp; DATE('Cash flow'!$E$3, 2, 1),
        'List Expenses'!$A$3:$A$100000, "&lt;"  &amp; DATE('Cash flow'!$E$3, 3, 1))</f>
        <v>0</v>
      </c>
      <c r="E58" s="2"/>
    </row>
    <row r="59" spans="2:5" ht="30" customHeight="1" x14ac:dyDescent="0.3">
      <c r="B59" s="2"/>
      <c r="C59" s="32" t="s">
        <v>7</v>
      </c>
      <c r="D59" s="31">
        <f>SUMIFS('List Expenses'!$C$3:$C$100000,
        'List Expenses'!$B$3:$B$100000, 'Yearly expenses'!$C16,
        'List Expenses'!$A$3:$A$100000, "&gt;=" &amp; DATE('Cash flow'!$E$3, 2, 1),
        'List Expenses'!$A$3:$A$100000, "&lt;"  &amp; DATE('Cash flow'!$E$3, 3, 1))</f>
        <v>0</v>
      </c>
      <c r="E59" s="2"/>
    </row>
    <row r="60" spans="2:5" ht="30" customHeight="1" x14ac:dyDescent="0.3">
      <c r="B60" s="2"/>
      <c r="C60" s="32" t="s">
        <v>32</v>
      </c>
      <c r="D60" s="31">
        <f>SUMIFS('List Expenses'!$C$3:$C$100000,
        'List Expenses'!$B$3:$B$100000, 'Yearly expenses'!$C17,
        'List Expenses'!$A$3:$A$100000, "&gt;=" &amp; DATE('Cash flow'!$E$3, 2, 1),
        'List Expenses'!$A$3:$A$100000, "&lt;"  &amp; DATE('Cash flow'!$E$3, 3, 1))</f>
        <v>0</v>
      </c>
      <c r="E60" s="2"/>
    </row>
    <row r="61" spans="2:5" ht="30" customHeight="1" x14ac:dyDescent="0.3">
      <c r="B61" s="2"/>
      <c r="C61" s="32" t="s">
        <v>8</v>
      </c>
      <c r="D61" s="31">
        <f>SUMIFS('List Expenses'!$C$3:$C$100000,
        'List Expenses'!$B$3:$B$100000, 'Yearly expenses'!$C18,
        'List Expenses'!$A$3:$A$100000, "&gt;=" &amp; DATE('Cash flow'!$E$3, 2, 1),
        'List Expenses'!$A$3:$A$100000, "&lt;"  &amp; DATE('Cash flow'!$E$3, 3, 1))</f>
        <v>0</v>
      </c>
      <c r="E61" s="2"/>
    </row>
    <row r="62" spans="2:5" ht="30" customHeight="1" x14ac:dyDescent="0.3">
      <c r="B62" s="2"/>
      <c r="C62" s="32" t="s">
        <v>9</v>
      </c>
      <c r="D62" s="31">
        <f>SUMIFS('List Expenses'!$C$3:$C$100000,
        'List Expenses'!$B$3:$B$100000, 'Yearly expenses'!$C19,
        'List Expenses'!$A$3:$A$100000, "&gt;=" &amp; DATE('Cash flow'!$E$3, 2, 1),
        'List Expenses'!$A$3:$A$100000, "&lt;"  &amp; DATE('Cash flow'!$E$3, 3, 1))</f>
        <v>0</v>
      </c>
      <c r="E62" s="2"/>
    </row>
    <row r="63" spans="2:5" ht="30" customHeight="1" x14ac:dyDescent="0.3">
      <c r="B63" s="2"/>
      <c r="C63" s="33" t="s">
        <v>11</v>
      </c>
      <c r="D63" s="34">
        <f>SUBTOTAL(109,Expenses4[Actual])</f>
        <v>0</v>
      </c>
      <c r="E63" s="2"/>
    </row>
    <row r="64" spans="2:5" ht="30" customHeight="1" x14ac:dyDescent="0.3">
      <c r="B64" s="2"/>
      <c r="C64" s="35"/>
      <c r="D64" s="36"/>
      <c r="E64" s="2"/>
    </row>
    <row r="66" spans="2:5" ht="30" customHeight="1" x14ac:dyDescent="0.3">
      <c r="B66" s="2"/>
      <c r="C66" s="35"/>
      <c r="D66" s="36"/>
      <c r="E66" s="2"/>
    </row>
    <row r="67" spans="2:5" ht="30" customHeight="1" thickBot="1" x14ac:dyDescent="0.35">
      <c r="B67" s="2"/>
      <c r="C67" s="54" t="s">
        <v>54</v>
      </c>
      <c r="D67" s="54"/>
      <c r="E67" s="2"/>
    </row>
    <row r="68" spans="2:5" ht="30" customHeight="1" x14ac:dyDescent="0.3">
      <c r="B68" s="2"/>
      <c r="C68" s="39"/>
      <c r="D68" s="40"/>
      <c r="E68" s="2"/>
    </row>
    <row r="69" spans="2:5" ht="30" customHeight="1" x14ac:dyDescent="0.3">
      <c r="B69" s="2"/>
      <c r="C69" s="33" t="s">
        <v>14</v>
      </c>
      <c r="D69" s="41" t="s">
        <v>1</v>
      </c>
      <c r="E69" s="2"/>
    </row>
    <row r="70" spans="2:5" ht="30" customHeight="1" x14ac:dyDescent="0.3">
      <c r="B70" s="2"/>
      <c r="C70" s="30" t="s">
        <v>22</v>
      </c>
      <c r="D70" s="31">
        <f>SUMIFS('List Expenses'!$C$3:$C$100000,
        'List Expenses'!$B$3:$B$100000, 'Yearly expenses'!$C6,
        'List Expenses'!$A$3:$A$100000, "&gt;=" &amp; DATE('Cash flow'!$E$3, 3, 1),
        'List Expenses'!$A$3:$A$100000, "&lt;"  &amp; DATE('Cash flow'!$E$3, 4, 1))</f>
        <v>0</v>
      </c>
      <c r="E70" s="2"/>
    </row>
    <row r="71" spans="2:5" ht="30" customHeight="1" x14ac:dyDescent="0.3">
      <c r="B71" s="2"/>
      <c r="C71" s="30" t="s">
        <v>5</v>
      </c>
      <c r="D71" s="31">
        <f>SUMIFS('List Expenses'!$C$3:$C$100000,
        'List Expenses'!$B$3:$B$100000, 'Yearly expenses'!$C7,
        'List Expenses'!$A$3:$A$100000, "&gt;=" &amp; DATE('Cash flow'!$E$3, 3, 1),
        'List Expenses'!$A$3:$A$100000, "&lt;"  &amp; DATE('Cash flow'!$E$3, 4, 1))</f>
        <v>0</v>
      </c>
      <c r="E71" s="2"/>
    </row>
    <row r="72" spans="2:5" ht="30" customHeight="1" x14ac:dyDescent="0.3">
      <c r="B72" s="2"/>
      <c r="C72" s="30" t="s">
        <v>41</v>
      </c>
      <c r="D72" s="31">
        <f>SUMIFS('List Expenses'!$C$3:$C$100000,
        'List Expenses'!$B$3:$B$100000, 'Yearly expenses'!$C8,
        'List Expenses'!$A$3:$A$100000, "&gt;=" &amp; DATE('Cash flow'!$E$3, 3, 1),
        'List Expenses'!$A$3:$A$100000, "&lt;"  &amp; DATE('Cash flow'!$E$3, 4, 1))</f>
        <v>0</v>
      </c>
      <c r="E72" s="2"/>
    </row>
    <row r="73" spans="2:5" ht="30" customHeight="1" x14ac:dyDescent="0.3">
      <c r="B73" s="2"/>
      <c r="C73" s="30" t="s">
        <v>23</v>
      </c>
      <c r="D73" s="31">
        <f>SUMIFS('List Expenses'!$C$3:$C$100000,
        'List Expenses'!$B$3:$B$100000, 'Yearly expenses'!$C9,
        'List Expenses'!$A$3:$A$100000, "&gt;=" &amp; DATE('Cash flow'!$E$3, 3, 1),
        'List Expenses'!$A$3:$A$100000, "&lt;"  &amp; DATE('Cash flow'!$E$3, 4, 1))</f>
        <v>0</v>
      </c>
      <c r="E73" s="2"/>
    </row>
    <row r="74" spans="2:5" ht="30" customHeight="1" x14ac:dyDescent="0.3">
      <c r="B74" s="2"/>
      <c r="C74" s="30" t="s">
        <v>24</v>
      </c>
      <c r="D74" s="31">
        <f>SUMIFS('List Expenses'!$C$3:$C$100000,
        'List Expenses'!$B$3:$B$100000, 'Yearly expenses'!$C10,
        'List Expenses'!$A$3:$A$100000, "&gt;=" &amp; DATE('Cash flow'!$E$3, 3, 1),
        'List Expenses'!$A$3:$A$100000, "&lt;"  &amp; DATE('Cash flow'!$E$3, 4, 1))</f>
        <v>0</v>
      </c>
      <c r="E74" s="2"/>
    </row>
    <row r="75" spans="2:5" ht="30" customHeight="1" x14ac:dyDescent="0.3">
      <c r="B75" s="2"/>
      <c r="C75" s="30" t="s">
        <v>25</v>
      </c>
      <c r="D75" s="31">
        <f>SUMIFS('List Expenses'!$C$3:$C$100000,
        'List Expenses'!$B$3:$B$100000, 'Yearly expenses'!$C11,
        'List Expenses'!$A$3:$A$100000, "&gt;=" &amp; DATE('Cash flow'!$E$3, 3, 1),
        'List Expenses'!$A$3:$A$100000, "&lt;"  &amp; DATE('Cash flow'!$E$3, 4, 1))</f>
        <v>0</v>
      </c>
      <c r="E75" s="2"/>
    </row>
    <row r="76" spans="2:5" ht="30" customHeight="1" x14ac:dyDescent="0.3">
      <c r="B76" s="2"/>
      <c r="C76" s="32" t="s">
        <v>34</v>
      </c>
      <c r="D76" s="31">
        <f>SUMIFS('List Expenses'!$C$3:$C$100000,
        'List Expenses'!$B$3:$B$100000, 'Yearly expenses'!$C12,
        'List Expenses'!$A$3:$A$100000, "&gt;=" &amp; DATE('Cash flow'!$E$3, 3, 1),
        'List Expenses'!$A$3:$A$100000, "&lt;"  &amp; DATE('Cash flow'!$E$3, 4, 1))</f>
        <v>0</v>
      </c>
      <c r="E76" s="2"/>
    </row>
    <row r="77" spans="2:5" ht="30" customHeight="1" x14ac:dyDescent="0.3">
      <c r="B77" s="2"/>
      <c r="C77" s="32" t="s">
        <v>6</v>
      </c>
      <c r="D77" s="31">
        <f>SUMIFS('List Expenses'!$C$3:$C$100000,
        'List Expenses'!$B$3:$B$100000, 'Yearly expenses'!$C13,
        'List Expenses'!$A$3:$A$100000, "&gt;=" &amp; DATE('Cash flow'!$E$3, 3, 1),
        'List Expenses'!$A$3:$A$100000, "&lt;"  &amp; DATE('Cash flow'!$E$3, 4, 1))</f>
        <v>0</v>
      </c>
      <c r="E77" s="2"/>
    </row>
    <row r="78" spans="2:5" ht="30" customHeight="1" x14ac:dyDescent="0.3">
      <c r="B78" s="2"/>
      <c r="C78" s="32" t="s">
        <v>12</v>
      </c>
      <c r="D78" s="31">
        <f>SUMIFS('List Expenses'!$C$3:$C$100000,
        'List Expenses'!$B$3:$B$100000, 'Yearly expenses'!$C14,
        'List Expenses'!$A$3:$A$100000, "&gt;=" &amp; DATE('Cash flow'!$E$3, 3, 1),
        'List Expenses'!$A$3:$A$100000, "&lt;"  &amp; DATE('Cash flow'!$E$3, 4, 1))</f>
        <v>0</v>
      </c>
      <c r="E78" s="2"/>
    </row>
    <row r="79" spans="2:5" ht="30" customHeight="1" x14ac:dyDescent="0.3">
      <c r="B79" s="2"/>
      <c r="C79" s="32" t="s">
        <v>13</v>
      </c>
      <c r="D79" s="31">
        <f>SUMIFS('List Expenses'!$C$3:$C$100000,
        'List Expenses'!$B$3:$B$100000, 'Yearly expenses'!$C15,
        'List Expenses'!$A$3:$A$100000, "&gt;=" &amp; DATE('Cash flow'!$E$3, 3, 1),
        'List Expenses'!$A$3:$A$100000, "&lt;"  &amp; DATE('Cash flow'!$E$3, 4, 1))</f>
        <v>0</v>
      </c>
      <c r="E79" s="2"/>
    </row>
    <row r="80" spans="2:5" ht="30" customHeight="1" x14ac:dyDescent="0.3">
      <c r="B80" s="2"/>
      <c r="C80" s="32" t="s">
        <v>7</v>
      </c>
      <c r="D80" s="31">
        <f>SUMIFS('List Expenses'!$C$3:$C$100000,
        'List Expenses'!$B$3:$B$100000, 'Yearly expenses'!$C16,
        'List Expenses'!$A$3:$A$100000, "&gt;=" &amp; DATE('Cash flow'!$E$3, 3, 1),
        'List Expenses'!$A$3:$A$100000, "&lt;"  &amp; DATE('Cash flow'!$E$3, 4, 1))</f>
        <v>0</v>
      </c>
      <c r="E80" s="2"/>
    </row>
    <row r="81" spans="2:5" ht="30" customHeight="1" x14ac:dyDescent="0.3">
      <c r="B81" s="2"/>
      <c r="C81" s="32" t="s">
        <v>32</v>
      </c>
      <c r="D81" s="31">
        <f>SUMIFS('List Expenses'!$C$3:$C$100000,
        'List Expenses'!$B$3:$B$100000, 'Yearly expenses'!$C17,
        'List Expenses'!$A$3:$A$100000, "&gt;=" &amp; DATE('Cash flow'!$E$3, 3, 1),
        'List Expenses'!$A$3:$A$100000, "&lt;"  &amp; DATE('Cash flow'!$E$3, 4, 1))</f>
        <v>0</v>
      </c>
      <c r="E81" s="2"/>
    </row>
    <row r="82" spans="2:5" ht="30" customHeight="1" x14ac:dyDescent="0.3">
      <c r="B82" s="2"/>
      <c r="C82" s="32" t="s">
        <v>8</v>
      </c>
      <c r="D82" s="31">
        <f>SUMIFS('List Expenses'!$C$3:$C$100000,
        'List Expenses'!$B$3:$B$100000, 'Yearly expenses'!$C18,
        'List Expenses'!$A$3:$A$100000, "&gt;=" &amp; DATE('Cash flow'!$E$3, 3, 1),
        'List Expenses'!$A$3:$A$100000, "&lt;"  &amp; DATE('Cash flow'!$E$3, 4, 1))</f>
        <v>0</v>
      </c>
      <c r="E82" s="2"/>
    </row>
    <row r="83" spans="2:5" ht="30" customHeight="1" x14ac:dyDescent="0.3">
      <c r="B83" s="2"/>
      <c r="C83" s="32" t="s">
        <v>9</v>
      </c>
      <c r="D83" s="31">
        <f>SUMIFS('List Expenses'!$C$3:$C$100000,
        'List Expenses'!$B$3:$B$100000, 'Yearly expenses'!$C19,
        'List Expenses'!$A$3:$A$100000, "&gt;=" &amp; DATE('Cash flow'!$E$3, 3, 1),
        'List Expenses'!$A$3:$A$100000, "&lt;"  &amp; DATE('Cash flow'!$E$3, 4, 1))</f>
        <v>0</v>
      </c>
      <c r="E83" s="2"/>
    </row>
    <row r="84" spans="2:5" ht="30" customHeight="1" x14ac:dyDescent="0.3">
      <c r="B84" s="2"/>
      <c r="C84" s="33" t="s">
        <v>11</v>
      </c>
      <c r="D84" s="34">
        <f>SUBTOTAL(109,Expenses5[Actual])</f>
        <v>0</v>
      </c>
      <c r="E84" s="2"/>
    </row>
    <row r="85" spans="2:5" ht="30" customHeight="1" x14ac:dyDescent="0.3">
      <c r="B85" s="2"/>
      <c r="C85" s="35"/>
      <c r="D85" s="36"/>
      <c r="E85" s="2"/>
    </row>
    <row r="87" spans="2:5" ht="30" customHeight="1" x14ac:dyDescent="0.3">
      <c r="B87" s="2"/>
      <c r="C87" s="35"/>
      <c r="D87" s="36"/>
      <c r="E87" s="2"/>
    </row>
    <row r="88" spans="2:5" ht="30" customHeight="1" thickBot="1" x14ac:dyDescent="0.35">
      <c r="B88" s="2"/>
      <c r="C88" s="54" t="s">
        <v>55</v>
      </c>
      <c r="D88" s="54"/>
      <c r="E88" s="2"/>
    </row>
    <row r="89" spans="2:5" ht="30" customHeight="1" x14ac:dyDescent="0.3">
      <c r="B89" s="2"/>
      <c r="C89" s="39"/>
      <c r="D89" s="40"/>
      <c r="E89" s="2"/>
    </row>
    <row r="90" spans="2:5" ht="30" customHeight="1" x14ac:dyDescent="0.3">
      <c r="B90" s="2"/>
      <c r="C90" s="33" t="s">
        <v>14</v>
      </c>
      <c r="D90" s="41" t="s">
        <v>1</v>
      </c>
      <c r="E90" s="2"/>
    </row>
    <row r="91" spans="2:5" ht="30" customHeight="1" x14ac:dyDescent="0.3">
      <c r="B91" s="2"/>
      <c r="C91" s="30" t="s">
        <v>22</v>
      </c>
      <c r="D91" s="31">
        <f>SUMIFS('List Expenses'!$C$3:$C$100000,
        'List Expenses'!$B$3:$B$100000, 'Yearly expenses'!$C27,
        'List Expenses'!$A$3:$A$100000, "&gt;=" &amp; DATE('Cash flow'!$E$3, 4, 1),
        'List Expenses'!$A$3:$A$100000, "&lt;"  &amp; DATE('Cash flow'!$E$3, 5, 1))</f>
        <v>0</v>
      </c>
      <c r="E91" s="2"/>
    </row>
    <row r="92" spans="2:5" ht="30" customHeight="1" x14ac:dyDescent="0.3">
      <c r="B92" s="2"/>
      <c r="C92" s="30" t="s">
        <v>5</v>
      </c>
      <c r="D92" s="31">
        <f>SUMIFS('List Expenses'!$C$3:$C$100000,
        'List Expenses'!$B$3:$B$100000, 'Yearly expenses'!$C28,
        'List Expenses'!$A$3:$A$100000, "&gt;=" &amp; DATE('Cash flow'!$E$3, 4, 1),
        'List Expenses'!$A$3:$A$100000, "&lt;"  &amp; DATE('Cash flow'!$E$3, 5, 1))</f>
        <v>0</v>
      </c>
      <c r="E92" s="2"/>
    </row>
    <row r="93" spans="2:5" ht="30" customHeight="1" x14ac:dyDescent="0.3">
      <c r="B93" s="2"/>
      <c r="C93" s="30" t="s">
        <v>41</v>
      </c>
      <c r="D93" s="31">
        <f>SUMIFS('List Expenses'!$C$3:$C$100000,
        'List Expenses'!$B$3:$B$100000, 'Yearly expenses'!$C29,
        'List Expenses'!$A$3:$A$100000, "&gt;=" &amp; DATE('Cash flow'!$E$3, 4, 1),
        'List Expenses'!$A$3:$A$100000, "&lt;"  &amp; DATE('Cash flow'!$E$3, 5, 1))</f>
        <v>0</v>
      </c>
      <c r="E93" s="2"/>
    </row>
    <row r="94" spans="2:5" ht="30" customHeight="1" x14ac:dyDescent="0.3">
      <c r="B94" s="2"/>
      <c r="C94" s="30" t="s">
        <v>23</v>
      </c>
      <c r="D94" s="31">
        <f>SUMIFS('List Expenses'!$C$3:$C$100000,
        'List Expenses'!$B$3:$B$100000, 'Yearly expenses'!$C30,
        'List Expenses'!$A$3:$A$100000, "&gt;=" &amp; DATE('Cash flow'!$E$3, 4, 1),
        'List Expenses'!$A$3:$A$100000, "&lt;"  &amp; DATE('Cash flow'!$E$3, 5, 1))</f>
        <v>0</v>
      </c>
      <c r="E94" s="2"/>
    </row>
    <row r="95" spans="2:5" ht="30" customHeight="1" x14ac:dyDescent="0.3">
      <c r="B95" s="2"/>
      <c r="C95" s="30" t="s">
        <v>24</v>
      </c>
      <c r="D95" s="31">
        <f>SUMIFS('List Expenses'!$C$3:$C$100000,
        'List Expenses'!$B$3:$B$100000, 'Yearly expenses'!$C31,
        'List Expenses'!$A$3:$A$100000, "&gt;=" &amp; DATE('Cash flow'!$E$3, 4, 1),
        'List Expenses'!$A$3:$A$100000, "&lt;"  &amp; DATE('Cash flow'!$E$3, 5, 1))</f>
        <v>0</v>
      </c>
      <c r="E95" s="2"/>
    </row>
    <row r="96" spans="2:5" ht="30" customHeight="1" x14ac:dyDescent="0.3">
      <c r="B96" s="2"/>
      <c r="C96" s="30" t="s">
        <v>25</v>
      </c>
      <c r="D96" s="31">
        <f>SUMIFS('List Expenses'!$C$3:$C$100000,
        'List Expenses'!$B$3:$B$100000, 'Yearly expenses'!$C32,
        'List Expenses'!$A$3:$A$100000, "&gt;=" &amp; DATE('Cash flow'!$E$3, 4, 1),
        'List Expenses'!$A$3:$A$100000, "&lt;"  &amp; DATE('Cash flow'!$E$3, 5, 1))</f>
        <v>0</v>
      </c>
      <c r="E96" s="2"/>
    </row>
    <row r="97" spans="2:5" ht="30" customHeight="1" x14ac:dyDescent="0.3">
      <c r="B97" s="2"/>
      <c r="C97" s="32" t="s">
        <v>34</v>
      </c>
      <c r="D97" s="31">
        <f>SUMIFS('List Expenses'!$C$3:$C$100000,
        'List Expenses'!$B$3:$B$100000, 'Yearly expenses'!$C33,
        'List Expenses'!$A$3:$A$100000, "&gt;=" &amp; DATE('Cash flow'!$E$3, 4, 1),
        'List Expenses'!$A$3:$A$100000, "&lt;"  &amp; DATE('Cash flow'!$E$3, 5, 1))</f>
        <v>0</v>
      </c>
      <c r="E97" s="2"/>
    </row>
    <row r="98" spans="2:5" ht="30" customHeight="1" x14ac:dyDescent="0.3">
      <c r="B98" s="2"/>
      <c r="C98" s="32" t="s">
        <v>6</v>
      </c>
      <c r="D98" s="31">
        <f>SUMIFS('List Expenses'!$C$3:$C$100000,
        'List Expenses'!$B$3:$B$100000, 'Yearly expenses'!$C34,
        'List Expenses'!$A$3:$A$100000, "&gt;=" &amp; DATE('Cash flow'!$E$3, 4, 1),
        'List Expenses'!$A$3:$A$100000, "&lt;"  &amp; DATE('Cash flow'!$E$3, 5, 1))</f>
        <v>0</v>
      </c>
      <c r="E98" s="2"/>
    </row>
    <row r="99" spans="2:5" ht="30" customHeight="1" x14ac:dyDescent="0.3">
      <c r="B99" s="2"/>
      <c r="C99" s="32" t="s">
        <v>12</v>
      </c>
      <c r="D99" s="31">
        <f>SUMIFS('List Expenses'!$C$3:$C$100000,
        'List Expenses'!$B$3:$B$100000, 'Yearly expenses'!$C35,
        'List Expenses'!$A$3:$A$100000, "&gt;=" &amp; DATE('Cash flow'!$E$3, 4, 1),
        'List Expenses'!$A$3:$A$100000, "&lt;"  &amp; DATE('Cash flow'!$E$3, 5, 1))</f>
        <v>0</v>
      </c>
      <c r="E99" s="2"/>
    </row>
    <row r="100" spans="2:5" ht="30" customHeight="1" x14ac:dyDescent="0.3">
      <c r="B100" s="2"/>
      <c r="C100" s="32" t="s">
        <v>13</v>
      </c>
      <c r="D100" s="31">
        <f>SUMIFS('List Expenses'!$C$3:$C$100000,
        'List Expenses'!$B$3:$B$100000, 'Yearly expenses'!$C36,
        'List Expenses'!$A$3:$A$100000, "&gt;=" &amp; DATE('Cash flow'!$E$3, 4, 1),
        'List Expenses'!$A$3:$A$100000, "&lt;"  &amp; DATE('Cash flow'!$E$3, 5, 1))</f>
        <v>0</v>
      </c>
      <c r="E100" s="2"/>
    </row>
    <row r="101" spans="2:5" ht="30" customHeight="1" x14ac:dyDescent="0.3">
      <c r="B101" s="2"/>
      <c r="C101" s="32" t="s">
        <v>7</v>
      </c>
      <c r="D101" s="31">
        <f>SUMIFS('List Expenses'!$C$3:$C$100000,
        'List Expenses'!$B$3:$B$100000, 'Yearly expenses'!$C37,
        'List Expenses'!$A$3:$A$100000, "&gt;=" &amp; DATE('Cash flow'!$E$3, 4, 1),
        'List Expenses'!$A$3:$A$100000, "&lt;"  &amp; DATE('Cash flow'!$E$3, 5, 1))</f>
        <v>0</v>
      </c>
      <c r="E101" s="2"/>
    </row>
    <row r="102" spans="2:5" ht="30" customHeight="1" x14ac:dyDescent="0.3">
      <c r="B102" s="2"/>
      <c r="C102" s="32" t="s">
        <v>32</v>
      </c>
      <c r="D102" s="31">
        <f>SUMIFS('List Expenses'!$C$3:$C$100000,
        'List Expenses'!$B$3:$B$100000, 'Yearly expenses'!$C38,
        'List Expenses'!$A$3:$A$100000, "&gt;=" &amp; DATE('Cash flow'!$E$3, 4, 1),
        'List Expenses'!$A$3:$A$100000, "&lt;"  &amp; DATE('Cash flow'!$E$3, 5, 1))</f>
        <v>0</v>
      </c>
      <c r="E102" s="2"/>
    </row>
    <row r="103" spans="2:5" ht="30" customHeight="1" x14ac:dyDescent="0.3">
      <c r="B103" s="2"/>
      <c r="C103" s="32" t="s">
        <v>8</v>
      </c>
      <c r="D103" s="31">
        <f>SUMIFS('List Expenses'!$C$3:$C$100000,
        'List Expenses'!$B$3:$B$100000, 'Yearly expenses'!$C39,
        'List Expenses'!$A$3:$A$100000, "&gt;=" &amp; DATE('Cash flow'!$E$3, 4, 1),
        'List Expenses'!$A$3:$A$100000, "&lt;"  &amp; DATE('Cash flow'!$E$3, 5, 1))</f>
        <v>0</v>
      </c>
      <c r="E103" s="2"/>
    </row>
    <row r="104" spans="2:5" ht="30" customHeight="1" x14ac:dyDescent="0.3">
      <c r="B104" s="2"/>
      <c r="C104" s="32" t="s">
        <v>9</v>
      </c>
      <c r="D104" s="31">
        <f>SUMIFS('List Expenses'!$C$3:$C$100000,
        'List Expenses'!$B$3:$B$100000, 'Yearly expenses'!$C40,
        'List Expenses'!$A$3:$A$100000, "&gt;=" &amp; DATE('Cash flow'!$E$3, 4, 1),
        'List Expenses'!$A$3:$A$100000, "&lt;"  &amp; DATE('Cash flow'!$E$3, 5, 1))</f>
        <v>0</v>
      </c>
      <c r="E104" s="2"/>
    </row>
    <row r="105" spans="2:5" ht="30" customHeight="1" x14ac:dyDescent="0.3">
      <c r="B105" s="2"/>
      <c r="C105" s="33" t="s">
        <v>11</v>
      </c>
      <c r="D105" s="34">
        <f>SUBTOTAL(109,Expenses517[Actual])</f>
        <v>0</v>
      </c>
      <c r="E105" s="2"/>
    </row>
    <row r="106" spans="2:5" ht="30" customHeight="1" x14ac:dyDescent="0.3">
      <c r="B106" s="2"/>
      <c r="C106" s="35"/>
      <c r="D106" s="36"/>
      <c r="E106" s="2"/>
    </row>
    <row r="108" spans="2:5" ht="30" customHeight="1" x14ac:dyDescent="0.3">
      <c r="B108" s="2"/>
      <c r="C108" s="35"/>
      <c r="D108" s="36"/>
      <c r="E108" s="2"/>
    </row>
    <row r="109" spans="2:5" ht="30" customHeight="1" thickBot="1" x14ac:dyDescent="0.35">
      <c r="B109" s="2"/>
      <c r="C109" s="54" t="s">
        <v>57</v>
      </c>
      <c r="D109" s="54"/>
      <c r="E109" s="2"/>
    </row>
    <row r="110" spans="2:5" ht="30" customHeight="1" x14ac:dyDescent="0.3">
      <c r="B110" s="2"/>
      <c r="C110" s="39"/>
      <c r="D110" s="40"/>
      <c r="E110" s="2"/>
    </row>
    <row r="111" spans="2:5" ht="30" customHeight="1" x14ac:dyDescent="0.3">
      <c r="B111" s="2"/>
      <c r="C111" s="33" t="s">
        <v>14</v>
      </c>
      <c r="D111" s="41" t="s">
        <v>1</v>
      </c>
      <c r="E111" s="2"/>
    </row>
    <row r="112" spans="2:5" ht="30" customHeight="1" x14ac:dyDescent="0.3">
      <c r="B112" s="2"/>
      <c r="C112" s="30" t="s">
        <v>22</v>
      </c>
      <c r="D112" s="31">
        <f>SUMIFS('List Expenses'!$C$3:$C$100000,
        'List Expenses'!$B$3:$B$100000, 'Yearly expenses'!$C48,
        'List Expenses'!$A$3:$A$100000, "&gt;=" &amp; DATE('Cash flow'!$E$3, 5, 1),
        'List Expenses'!$A$3:$A$100000, "&lt;"  &amp; DATE('Cash flow'!$E$3, 6, 1))</f>
        <v>0</v>
      </c>
      <c r="E112" s="2"/>
    </row>
    <row r="113" spans="2:5" ht="30" customHeight="1" x14ac:dyDescent="0.3">
      <c r="B113" s="2"/>
      <c r="C113" s="30" t="s">
        <v>5</v>
      </c>
      <c r="D113" s="31">
        <f>SUMIFS('List Expenses'!$C$3:$C$100000,
        'List Expenses'!$B$3:$B$100000, 'Yearly expenses'!$C49,
        'List Expenses'!$A$3:$A$100000, "&gt;=" &amp; DATE('Cash flow'!$E$3, 5, 1),
        'List Expenses'!$A$3:$A$100000, "&lt;"  &amp; DATE('Cash flow'!$E$3, 6, 1))</f>
        <v>0</v>
      </c>
      <c r="E113" s="2"/>
    </row>
    <row r="114" spans="2:5" ht="30" customHeight="1" x14ac:dyDescent="0.3">
      <c r="B114" s="2"/>
      <c r="C114" s="30" t="s">
        <v>41</v>
      </c>
      <c r="D114" s="31">
        <f>SUMIFS('List Expenses'!$C$3:$C$100000,
        'List Expenses'!$B$3:$B$100000, 'Yearly expenses'!$C50,
        'List Expenses'!$A$3:$A$100000, "&gt;=" &amp; DATE('Cash flow'!$E$3, 5, 1),
        'List Expenses'!$A$3:$A$100000, "&lt;"  &amp; DATE('Cash flow'!$E$3, 6, 1))</f>
        <v>0</v>
      </c>
      <c r="E114" s="2"/>
    </row>
    <row r="115" spans="2:5" ht="30" customHeight="1" x14ac:dyDescent="0.3">
      <c r="B115" s="2"/>
      <c r="C115" s="30" t="s">
        <v>23</v>
      </c>
      <c r="D115" s="31">
        <f>SUMIFS('List Expenses'!$C$3:$C$100000,
        'List Expenses'!$B$3:$B$100000, 'Yearly expenses'!$C51,
        'List Expenses'!$A$3:$A$100000, "&gt;=" &amp; DATE('Cash flow'!$E$3, 5, 1),
        'List Expenses'!$A$3:$A$100000, "&lt;"  &amp; DATE('Cash flow'!$E$3, 6, 1))</f>
        <v>0</v>
      </c>
      <c r="E115" s="2"/>
    </row>
    <row r="116" spans="2:5" ht="30" customHeight="1" x14ac:dyDescent="0.3">
      <c r="B116" s="2"/>
      <c r="C116" s="30" t="s">
        <v>24</v>
      </c>
      <c r="D116" s="31">
        <f>SUMIFS('List Expenses'!$C$3:$C$100000,
        'List Expenses'!$B$3:$B$100000, 'Yearly expenses'!$C52,
        'List Expenses'!$A$3:$A$100000, "&gt;=" &amp; DATE('Cash flow'!$E$3, 5, 1),
        'List Expenses'!$A$3:$A$100000, "&lt;"  &amp; DATE('Cash flow'!$E$3, 6, 1))</f>
        <v>0</v>
      </c>
      <c r="E116" s="2"/>
    </row>
    <row r="117" spans="2:5" ht="30" customHeight="1" x14ac:dyDescent="0.3">
      <c r="B117" s="2"/>
      <c r="C117" s="30" t="s">
        <v>25</v>
      </c>
      <c r="D117" s="31">
        <f>SUMIFS('List Expenses'!$C$3:$C$100000,
        'List Expenses'!$B$3:$B$100000, 'Yearly expenses'!$C53,
        'List Expenses'!$A$3:$A$100000, "&gt;=" &amp; DATE('Cash flow'!$E$3, 5, 1),
        'List Expenses'!$A$3:$A$100000, "&lt;"  &amp; DATE('Cash flow'!$E$3, 6, 1))</f>
        <v>0</v>
      </c>
      <c r="E117" s="2"/>
    </row>
    <row r="118" spans="2:5" ht="30" customHeight="1" x14ac:dyDescent="0.3">
      <c r="B118" s="2"/>
      <c r="C118" s="32" t="s">
        <v>34</v>
      </c>
      <c r="D118" s="31">
        <f>SUMIFS('List Expenses'!$C$3:$C$100000,
        'List Expenses'!$B$3:$B$100000, 'Yearly expenses'!$C54,
        'List Expenses'!$A$3:$A$100000, "&gt;=" &amp; DATE('Cash flow'!$E$3, 5, 1),
        'List Expenses'!$A$3:$A$100000, "&lt;"  &amp; DATE('Cash flow'!$E$3, 6, 1))</f>
        <v>0</v>
      </c>
      <c r="E118" s="2"/>
    </row>
    <row r="119" spans="2:5" ht="30" customHeight="1" x14ac:dyDescent="0.3">
      <c r="B119" s="2"/>
      <c r="C119" s="32" t="s">
        <v>6</v>
      </c>
      <c r="D119" s="31">
        <f>SUMIFS('List Expenses'!$C$3:$C$100000,
        'List Expenses'!$B$3:$B$100000, 'Yearly expenses'!$C55,
        'List Expenses'!$A$3:$A$100000, "&gt;=" &amp; DATE('Cash flow'!$E$3, 5, 1),
        'List Expenses'!$A$3:$A$100000, "&lt;"  &amp; DATE('Cash flow'!$E$3, 6, 1))</f>
        <v>0</v>
      </c>
      <c r="E119" s="2"/>
    </row>
    <row r="120" spans="2:5" ht="30" customHeight="1" x14ac:dyDescent="0.3">
      <c r="B120" s="2"/>
      <c r="C120" s="32" t="s">
        <v>12</v>
      </c>
      <c r="D120" s="31">
        <f>SUMIFS('List Expenses'!$C$3:$C$100000,
        'List Expenses'!$B$3:$B$100000, 'Yearly expenses'!$C56,
        'List Expenses'!$A$3:$A$100000, "&gt;=" &amp; DATE('Cash flow'!$E$3, 5, 1),
        'List Expenses'!$A$3:$A$100000, "&lt;"  &amp; DATE('Cash flow'!$E$3, 6, 1))</f>
        <v>0</v>
      </c>
      <c r="E120" s="2"/>
    </row>
    <row r="121" spans="2:5" ht="30" customHeight="1" x14ac:dyDescent="0.3">
      <c r="B121" s="2"/>
      <c r="C121" s="32" t="s">
        <v>13</v>
      </c>
      <c r="D121" s="31">
        <f>SUMIFS('List Expenses'!$C$3:$C$100000,
        'List Expenses'!$B$3:$B$100000, 'Yearly expenses'!$C57,
        'List Expenses'!$A$3:$A$100000, "&gt;=" &amp; DATE('Cash flow'!$E$3, 5, 1),
        'List Expenses'!$A$3:$A$100000, "&lt;"  &amp; DATE('Cash flow'!$E$3, 6, 1))</f>
        <v>0</v>
      </c>
      <c r="E121" s="2"/>
    </row>
    <row r="122" spans="2:5" ht="30" customHeight="1" x14ac:dyDescent="0.3">
      <c r="B122" s="2"/>
      <c r="C122" s="32" t="s">
        <v>7</v>
      </c>
      <c r="D122" s="31">
        <f>SUMIFS('List Expenses'!$C$3:$C$100000,
        'List Expenses'!$B$3:$B$100000, 'Yearly expenses'!$C58,
        'List Expenses'!$A$3:$A$100000, "&gt;=" &amp; DATE('Cash flow'!$E$3, 5, 1),
        'List Expenses'!$A$3:$A$100000, "&lt;"  &amp; DATE('Cash flow'!$E$3, 6, 1))</f>
        <v>0</v>
      </c>
      <c r="E122" s="2"/>
    </row>
    <row r="123" spans="2:5" ht="30" customHeight="1" x14ac:dyDescent="0.3">
      <c r="B123" s="2"/>
      <c r="C123" s="32" t="s">
        <v>32</v>
      </c>
      <c r="D123" s="31">
        <f>SUMIFS('List Expenses'!$C$3:$C$100000,
        'List Expenses'!$B$3:$B$100000, 'Yearly expenses'!$C59,
        'List Expenses'!$A$3:$A$100000, "&gt;=" &amp; DATE('Cash flow'!$E$3, 5, 1),
        'List Expenses'!$A$3:$A$100000, "&lt;"  &amp; DATE('Cash flow'!$E$3, 6, 1))</f>
        <v>0</v>
      </c>
      <c r="E123" s="2"/>
    </row>
    <row r="124" spans="2:5" ht="30" customHeight="1" x14ac:dyDescent="0.3">
      <c r="B124" s="2"/>
      <c r="C124" s="32" t="s">
        <v>8</v>
      </c>
      <c r="D124" s="31">
        <f>SUMIFS('List Expenses'!$C$3:$C$100000,
        'List Expenses'!$B$3:$B$100000, 'Yearly expenses'!$C60,
        'List Expenses'!$A$3:$A$100000, "&gt;=" &amp; DATE('Cash flow'!$E$3, 5, 1),
        'List Expenses'!$A$3:$A$100000, "&lt;"  &amp; DATE('Cash flow'!$E$3, 6, 1))</f>
        <v>0</v>
      </c>
      <c r="E124" s="2"/>
    </row>
    <row r="125" spans="2:5" ht="30" customHeight="1" x14ac:dyDescent="0.3">
      <c r="B125" s="2"/>
      <c r="C125" s="32" t="s">
        <v>9</v>
      </c>
      <c r="D125" s="31">
        <f>SUMIFS('List Expenses'!$C$3:$C$100000,
        'List Expenses'!$B$3:$B$100000, 'Yearly expenses'!$C61,
        'List Expenses'!$A$3:$A$100000, "&gt;=" &amp; DATE('Cash flow'!$E$3, 5, 1),
        'List Expenses'!$A$3:$A$100000, "&lt;"  &amp; DATE('Cash flow'!$E$3, 6, 1))</f>
        <v>0</v>
      </c>
      <c r="E125" s="2"/>
    </row>
    <row r="126" spans="2:5" ht="30" customHeight="1" x14ac:dyDescent="0.3">
      <c r="B126" s="2"/>
      <c r="C126" s="33" t="s">
        <v>11</v>
      </c>
      <c r="D126" s="34">
        <f>SUBTOTAL(109,Expenses520[Actual])</f>
        <v>0</v>
      </c>
      <c r="E126" s="2"/>
    </row>
    <row r="127" spans="2:5" ht="30" customHeight="1" x14ac:dyDescent="0.3">
      <c r="B127" s="2"/>
      <c r="C127" s="35"/>
      <c r="D127" s="36"/>
      <c r="E127" s="2"/>
    </row>
    <row r="129" spans="2:5" ht="30" customHeight="1" x14ac:dyDescent="0.3">
      <c r="B129" s="2"/>
      <c r="C129" s="35"/>
      <c r="D129" s="36"/>
      <c r="E129" s="2"/>
    </row>
    <row r="130" spans="2:5" ht="30" customHeight="1" thickBot="1" x14ac:dyDescent="0.35">
      <c r="B130" s="2"/>
      <c r="C130" s="54" t="s">
        <v>56</v>
      </c>
      <c r="D130" s="54"/>
      <c r="E130" s="2"/>
    </row>
    <row r="131" spans="2:5" ht="30" customHeight="1" x14ac:dyDescent="0.3">
      <c r="B131" s="2"/>
      <c r="C131" s="39"/>
      <c r="D131" s="40"/>
      <c r="E131" s="2"/>
    </row>
    <row r="132" spans="2:5" ht="30" customHeight="1" x14ac:dyDescent="0.3">
      <c r="B132" s="2"/>
      <c r="C132" s="33" t="s">
        <v>14</v>
      </c>
      <c r="D132" s="41" t="s">
        <v>1</v>
      </c>
      <c r="E132" s="2"/>
    </row>
    <row r="133" spans="2:5" ht="30" customHeight="1" x14ac:dyDescent="0.3">
      <c r="B133" s="2"/>
      <c r="C133" s="30" t="s">
        <v>22</v>
      </c>
      <c r="D133" s="31">
        <f>SUMIFS('List Expenses'!$C$3:$C$100000,
        'List Expenses'!$B$3:$B$100000, 'Yearly expenses'!$C69,
        'List Expenses'!$A$3:$A$100000, "&gt;=" &amp; DATE('Cash flow'!$E$3, 6, 1),
        'List Expenses'!$A$3:$A$100000, "&lt;"  &amp; DATE('Cash flow'!$E$3, 7, 1))</f>
        <v>0</v>
      </c>
      <c r="E133" s="2"/>
    </row>
    <row r="134" spans="2:5" ht="30" customHeight="1" x14ac:dyDescent="0.3">
      <c r="B134" s="2"/>
      <c r="C134" s="30" t="s">
        <v>5</v>
      </c>
      <c r="D134" s="31">
        <f>SUMIFS('List Expenses'!$C$3:$C$100000,
        'List Expenses'!$B$3:$B$100000, 'Yearly expenses'!$C70,
        'List Expenses'!$A$3:$A$100000, "&gt;=" &amp; DATE('Cash flow'!$E$3, 6, 1),
        'List Expenses'!$A$3:$A$100000, "&lt;"  &amp; DATE('Cash flow'!$E$3, 7, 1))</f>
        <v>0</v>
      </c>
      <c r="E134" s="2"/>
    </row>
    <row r="135" spans="2:5" ht="30" customHeight="1" x14ac:dyDescent="0.3">
      <c r="B135" s="2"/>
      <c r="C135" s="30" t="s">
        <v>41</v>
      </c>
      <c r="D135" s="31">
        <f>SUMIFS('List Expenses'!$C$3:$C$100000,
        'List Expenses'!$B$3:$B$100000, 'Yearly expenses'!$C71,
        'List Expenses'!$A$3:$A$100000, "&gt;=" &amp; DATE('Cash flow'!$E$3, 6, 1),
        'List Expenses'!$A$3:$A$100000, "&lt;"  &amp; DATE('Cash flow'!$E$3, 7, 1))</f>
        <v>0</v>
      </c>
      <c r="E135" s="2"/>
    </row>
    <row r="136" spans="2:5" ht="30" customHeight="1" x14ac:dyDescent="0.3">
      <c r="B136" s="2"/>
      <c r="C136" s="30" t="s">
        <v>23</v>
      </c>
      <c r="D136" s="31">
        <f>SUMIFS('List Expenses'!$C$3:$C$100000,
        'List Expenses'!$B$3:$B$100000, 'Yearly expenses'!$C72,
        'List Expenses'!$A$3:$A$100000, "&gt;=" &amp; DATE('Cash flow'!$E$3, 6, 1),
        'List Expenses'!$A$3:$A$100000, "&lt;"  &amp; DATE('Cash flow'!$E$3, 7, 1))</f>
        <v>0</v>
      </c>
      <c r="E136" s="2"/>
    </row>
    <row r="137" spans="2:5" ht="30" customHeight="1" x14ac:dyDescent="0.3">
      <c r="B137" s="2"/>
      <c r="C137" s="30" t="s">
        <v>24</v>
      </c>
      <c r="D137" s="31">
        <f>SUMIFS('List Expenses'!$C$3:$C$100000,
        'List Expenses'!$B$3:$B$100000, 'Yearly expenses'!$C73,
        'List Expenses'!$A$3:$A$100000, "&gt;=" &amp; DATE('Cash flow'!$E$3, 6, 1),
        'List Expenses'!$A$3:$A$100000, "&lt;"  &amp; DATE('Cash flow'!$E$3, 7, 1))</f>
        <v>0</v>
      </c>
      <c r="E137" s="2"/>
    </row>
    <row r="138" spans="2:5" ht="30" customHeight="1" x14ac:dyDescent="0.3">
      <c r="B138" s="2"/>
      <c r="C138" s="30" t="s">
        <v>25</v>
      </c>
      <c r="D138" s="31">
        <f>SUMIFS('List Expenses'!$C$3:$C$100000,
        'List Expenses'!$B$3:$B$100000, 'Yearly expenses'!$C74,
        'List Expenses'!$A$3:$A$100000, "&gt;=" &amp; DATE('Cash flow'!$E$3, 6, 1),
        'List Expenses'!$A$3:$A$100000, "&lt;"  &amp; DATE('Cash flow'!$E$3, 7, 1))</f>
        <v>0</v>
      </c>
      <c r="E138" s="2"/>
    </row>
    <row r="139" spans="2:5" ht="30" customHeight="1" x14ac:dyDescent="0.3">
      <c r="B139" s="2"/>
      <c r="C139" s="32" t="s">
        <v>34</v>
      </c>
      <c r="D139" s="31">
        <f>SUMIFS('List Expenses'!$C$3:$C$100000,
        'List Expenses'!$B$3:$B$100000, 'Yearly expenses'!$C75,
        'List Expenses'!$A$3:$A$100000, "&gt;=" &amp; DATE('Cash flow'!$E$3, 6, 1),
        'List Expenses'!$A$3:$A$100000, "&lt;"  &amp; DATE('Cash flow'!$E$3, 7, 1))</f>
        <v>0</v>
      </c>
      <c r="E139" s="2"/>
    </row>
    <row r="140" spans="2:5" ht="30" customHeight="1" x14ac:dyDescent="0.3">
      <c r="B140" s="2"/>
      <c r="C140" s="32" t="s">
        <v>6</v>
      </c>
      <c r="D140" s="31">
        <f>SUMIFS('List Expenses'!$C$3:$C$100000,
        'List Expenses'!$B$3:$B$100000, 'Yearly expenses'!$C76,
        'List Expenses'!$A$3:$A$100000, "&gt;=" &amp; DATE('Cash flow'!$E$3, 6, 1),
        'List Expenses'!$A$3:$A$100000, "&lt;"  &amp; DATE('Cash flow'!$E$3, 7, 1))</f>
        <v>0</v>
      </c>
      <c r="E140" s="2"/>
    </row>
    <row r="141" spans="2:5" ht="30" customHeight="1" x14ac:dyDescent="0.3">
      <c r="B141" s="2"/>
      <c r="C141" s="32" t="s">
        <v>12</v>
      </c>
      <c r="D141" s="31">
        <f>SUMIFS('List Expenses'!$C$3:$C$100000,
        'List Expenses'!$B$3:$B$100000, 'Yearly expenses'!$C77,
        'List Expenses'!$A$3:$A$100000, "&gt;=" &amp; DATE('Cash flow'!$E$3, 6, 1),
        'List Expenses'!$A$3:$A$100000, "&lt;"  &amp; DATE('Cash flow'!$E$3, 7, 1))</f>
        <v>0</v>
      </c>
      <c r="E141" s="2"/>
    </row>
    <row r="142" spans="2:5" ht="30" customHeight="1" x14ac:dyDescent="0.3">
      <c r="B142" s="2"/>
      <c r="C142" s="32" t="s">
        <v>13</v>
      </c>
      <c r="D142" s="31">
        <f>SUMIFS('List Expenses'!$C$3:$C$100000,
        'List Expenses'!$B$3:$B$100000, 'Yearly expenses'!$C78,
        'List Expenses'!$A$3:$A$100000, "&gt;=" &amp; DATE('Cash flow'!$E$3, 6, 1),
        'List Expenses'!$A$3:$A$100000, "&lt;"  &amp; DATE('Cash flow'!$E$3, 7, 1))</f>
        <v>0</v>
      </c>
      <c r="E142" s="2"/>
    </row>
    <row r="143" spans="2:5" ht="30" customHeight="1" x14ac:dyDescent="0.3">
      <c r="B143" s="2"/>
      <c r="C143" s="32" t="s">
        <v>7</v>
      </c>
      <c r="D143" s="31">
        <f>SUMIFS('List Expenses'!$C$3:$C$100000,
        'List Expenses'!$B$3:$B$100000, 'Yearly expenses'!$C79,
        'List Expenses'!$A$3:$A$100000, "&gt;=" &amp; DATE('Cash flow'!$E$3, 6, 1),
        'List Expenses'!$A$3:$A$100000, "&lt;"  &amp; DATE('Cash flow'!$E$3, 7, 1))</f>
        <v>0</v>
      </c>
      <c r="E143" s="2"/>
    </row>
    <row r="144" spans="2:5" ht="30" customHeight="1" x14ac:dyDescent="0.3">
      <c r="B144" s="2"/>
      <c r="C144" s="32" t="s">
        <v>32</v>
      </c>
      <c r="D144" s="31">
        <f>SUMIFS('List Expenses'!$C$3:$C$100000,
        'List Expenses'!$B$3:$B$100000, 'Yearly expenses'!$C80,
        'List Expenses'!$A$3:$A$100000, "&gt;=" &amp; DATE('Cash flow'!$E$3, 6, 1),
        'List Expenses'!$A$3:$A$100000, "&lt;"  &amp; DATE('Cash flow'!$E$3, 7, 1))</f>
        <v>0</v>
      </c>
      <c r="E144" s="2"/>
    </row>
    <row r="145" spans="2:5" ht="30" customHeight="1" x14ac:dyDescent="0.3">
      <c r="B145" s="2"/>
      <c r="C145" s="32" t="s">
        <v>8</v>
      </c>
      <c r="D145" s="31">
        <f>SUMIFS('List Expenses'!$C$3:$C$100000,
        'List Expenses'!$B$3:$B$100000, 'Yearly expenses'!$C81,
        'List Expenses'!$A$3:$A$100000, "&gt;=" &amp; DATE('Cash flow'!$E$3, 6, 1),
        'List Expenses'!$A$3:$A$100000, "&lt;"  &amp; DATE('Cash flow'!$E$3, 7, 1))</f>
        <v>0</v>
      </c>
      <c r="E145" s="2"/>
    </row>
    <row r="146" spans="2:5" ht="30" customHeight="1" x14ac:dyDescent="0.3">
      <c r="B146" s="2"/>
      <c r="C146" s="32" t="s">
        <v>9</v>
      </c>
      <c r="D146" s="31">
        <f>SUMIFS('List Expenses'!$C$3:$C$100000,
        'List Expenses'!$B$3:$B$100000, 'Yearly expenses'!$C82,
        'List Expenses'!$A$3:$A$100000, "&gt;=" &amp; DATE('Cash flow'!$E$3, 6, 1),
        'List Expenses'!$A$3:$A$100000, "&lt;"  &amp; DATE('Cash flow'!$E$3, 7, 1))</f>
        <v>0</v>
      </c>
      <c r="E146" s="2"/>
    </row>
    <row r="147" spans="2:5" ht="30" customHeight="1" x14ac:dyDescent="0.3">
      <c r="B147" s="2"/>
      <c r="C147" s="33" t="s">
        <v>11</v>
      </c>
      <c r="D147" s="34">
        <f>SUBTOTAL(109,Expenses521[Actual])</f>
        <v>0</v>
      </c>
      <c r="E147" s="2"/>
    </row>
    <row r="148" spans="2:5" ht="30" customHeight="1" x14ac:dyDescent="0.3">
      <c r="B148" s="2"/>
      <c r="C148" s="35"/>
      <c r="D148" s="36"/>
      <c r="E148" s="2"/>
    </row>
    <row r="150" spans="2:5" ht="30" customHeight="1" x14ac:dyDescent="0.3">
      <c r="B150" s="2"/>
      <c r="C150" s="35"/>
      <c r="D150" s="36"/>
      <c r="E150" s="2"/>
    </row>
    <row r="151" spans="2:5" ht="30" customHeight="1" thickBot="1" x14ac:dyDescent="0.35">
      <c r="B151" s="2"/>
      <c r="C151" s="54" t="s">
        <v>58</v>
      </c>
      <c r="D151" s="54"/>
      <c r="E151" s="2"/>
    </row>
    <row r="152" spans="2:5" ht="30" customHeight="1" x14ac:dyDescent="0.3">
      <c r="B152" s="2"/>
      <c r="C152" s="39"/>
      <c r="D152" s="40"/>
      <c r="E152" s="2"/>
    </row>
    <row r="153" spans="2:5" ht="30" customHeight="1" x14ac:dyDescent="0.3">
      <c r="B153" s="2"/>
      <c r="C153" s="33" t="s">
        <v>14</v>
      </c>
      <c r="D153" s="41" t="s">
        <v>1</v>
      </c>
      <c r="E153" s="2"/>
    </row>
    <row r="154" spans="2:5" ht="30" customHeight="1" x14ac:dyDescent="0.3">
      <c r="B154" s="2"/>
      <c r="C154" s="30" t="s">
        <v>22</v>
      </c>
      <c r="D154" s="31">
        <f>SUMIFS('List Expenses'!$C$3:$C$100000,
        'List Expenses'!$B$3:$B$100000, 'Yearly expenses'!$C90,
        'List Expenses'!$A$3:$A$100000, "&gt;=" &amp; DATE('Cash flow'!$E$3, 7, 1),
        'List Expenses'!$A$3:$A$100000, "&lt;"  &amp; DATE('Cash flow'!$E$3, 8, 1))</f>
        <v>0</v>
      </c>
      <c r="E154" s="2"/>
    </row>
    <row r="155" spans="2:5" ht="30" customHeight="1" x14ac:dyDescent="0.3">
      <c r="B155" s="2"/>
      <c r="C155" s="30" t="s">
        <v>5</v>
      </c>
      <c r="D155" s="31">
        <f>SUMIFS('List Expenses'!$C$3:$C$100000,
        'List Expenses'!$B$3:$B$100000, 'Yearly expenses'!$C91,
        'List Expenses'!$A$3:$A$100000, "&gt;=" &amp; DATE('Cash flow'!$E$3, 7, 1),
        'List Expenses'!$A$3:$A$100000, "&lt;"  &amp; DATE('Cash flow'!$E$3, 8, 1))</f>
        <v>0</v>
      </c>
      <c r="E155" s="2"/>
    </row>
    <row r="156" spans="2:5" ht="30" customHeight="1" x14ac:dyDescent="0.3">
      <c r="B156" s="2"/>
      <c r="C156" s="30" t="s">
        <v>41</v>
      </c>
      <c r="D156" s="31">
        <f>SUMIFS('List Expenses'!$C$3:$C$100000,
        'List Expenses'!$B$3:$B$100000, 'Yearly expenses'!$C92,
        'List Expenses'!$A$3:$A$100000, "&gt;=" &amp; DATE('Cash flow'!$E$3, 7, 1),
        'List Expenses'!$A$3:$A$100000, "&lt;"  &amp; DATE('Cash flow'!$E$3, 8, 1))</f>
        <v>0</v>
      </c>
      <c r="E156" s="2"/>
    </row>
    <row r="157" spans="2:5" ht="30" customHeight="1" x14ac:dyDescent="0.3">
      <c r="B157" s="2"/>
      <c r="C157" s="30" t="s">
        <v>23</v>
      </c>
      <c r="D157" s="31">
        <f>SUMIFS('List Expenses'!$C$3:$C$100000,
        'List Expenses'!$B$3:$B$100000, 'Yearly expenses'!$C93,
        'List Expenses'!$A$3:$A$100000, "&gt;=" &amp; DATE('Cash flow'!$E$3, 7, 1),
        'List Expenses'!$A$3:$A$100000, "&lt;"  &amp; DATE('Cash flow'!$E$3, 8, 1))</f>
        <v>0</v>
      </c>
      <c r="E157" s="2"/>
    </row>
    <row r="158" spans="2:5" ht="30" customHeight="1" x14ac:dyDescent="0.3">
      <c r="B158" s="2"/>
      <c r="C158" s="30" t="s">
        <v>24</v>
      </c>
      <c r="D158" s="31">
        <f>SUMIFS('List Expenses'!$C$3:$C$100000,
        'List Expenses'!$B$3:$B$100000, 'Yearly expenses'!$C94,
        'List Expenses'!$A$3:$A$100000, "&gt;=" &amp; DATE('Cash flow'!$E$3, 7, 1),
        'List Expenses'!$A$3:$A$100000, "&lt;"  &amp; DATE('Cash flow'!$E$3, 8, 1))</f>
        <v>0</v>
      </c>
      <c r="E158" s="2"/>
    </row>
    <row r="159" spans="2:5" ht="30" customHeight="1" x14ac:dyDescent="0.3">
      <c r="B159" s="2"/>
      <c r="C159" s="30" t="s">
        <v>25</v>
      </c>
      <c r="D159" s="31">
        <f>SUMIFS('List Expenses'!$C$3:$C$100000,
        'List Expenses'!$B$3:$B$100000, 'Yearly expenses'!$C95,
        'List Expenses'!$A$3:$A$100000, "&gt;=" &amp; DATE('Cash flow'!$E$3, 7, 1),
        'List Expenses'!$A$3:$A$100000, "&lt;"  &amp; DATE('Cash flow'!$E$3, 8, 1))</f>
        <v>0</v>
      </c>
      <c r="E159" s="2"/>
    </row>
    <row r="160" spans="2:5" ht="30" customHeight="1" x14ac:dyDescent="0.3">
      <c r="B160" s="2"/>
      <c r="C160" s="32" t="s">
        <v>34</v>
      </c>
      <c r="D160" s="31">
        <f>SUMIFS('List Expenses'!$C$3:$C$100000,
        'List Expenses'!$B$3:$B$100000, 'Yearly expenses'!$C96,
        'List Expenses'!$A$3:$A$100000, "&gt;=" &amp; DATE('Cash flow'!$E$3, 7, 1),
        'List Expenses'!$A$3:$A$100000, "&lt;"  &amp; DATE('Cash flow'!$E$3, 8, 1))</f>
        <v>0</v>
      </c>
      <c r="E160" s="2"/>
    </row>
    <row r="161" spans="2:5" ht="30" customHeight="1" x14ac:dyDescent="0.3">
      <c r="B161" s="2"/>
      <c r="C161" s="32" t="s">
        <v>6</v>
      </c>
      <c r="D161" s="31">
        <f>SUMIFS('List Expenses'!$C$3:$C$100000,
        'List Expenses'!$B$3:$B$100000, 'Yearly expenses'!$C97,
        'List Expenses'!$A$3:$A$100000, "&gt;=" &amp; DATE('Cash flow'!$E$3, 7, 1),
        'List Expenses'!$A$3:$A$100000, "&lt;"  &amp; DATE('Cash flow'!$E$3, 8, 1))</f>
        <v>0</v>
      </c>
      <c r="E161" s="2"/>
    </row>
    <row r="162" spans="2:5" ht="30" customHeight="1" x14ac:dyDescent="0.3">
      <c r="B162" s="2"/>
      <c r="C162" s="32" t="s">
        <v>12</v>
      </c>
      <c r="D162" s="31">
        <f>SUMIFS('List Expenses'!$C$3:$C$100000,
        'List Expenses'!$B$3:$B$100000, 'Yearly expenses'!$C98,
        'List Expenses'!$A$3:$A$100000, "&gt;=" &amp; DATE('Cash flow'!$E$3, 7, 1),
        'List Expenses'!$A$3:$A$100000, "&lt;"  &amp; DATE('Cash flow'!$E$3, 8, 1))</f>
        <v>0</v>
      </c>
      <c r="E162" s="2"/>
    </row>
    <row r="163" spans="2:5" ht="30" customHeight="1" x14ac:dyDescent="0.3">
      <c r="B163" s="2"/>
      <c r="C163" s="32" t="s">
        <v>13</v>
      </c>
      <c r="D163" s="31">
        <f>SUMIFS('List Expenses'!$C$3:$C$100000,
        'List Expenses'!$B$3:$B$100000, 'Yearly expenses'!$C99,
        'List Expenses'!$A$3:$A$100000, "&gt;=" &amp; DATE('Cash flow'!$E$3, 7, 1),
        'List Expenses'!$A$3:$A$100000, "&lt;"  &amp; DATE('Cash flow'!$E$3, 8, 1))</f>
        <v>0</v>
      </c>
      <c r="E163" s="2"/>
    </row>
    <row r="164" spans="2:5" ht="30" customHeight="1" x14ac:dyDescent="0.3">
      <c r="B164" s="2"/>
      <c r="C164" s="32" t="s">
        <v>7</v>
      </c>
      <c r="D164" s="31">
        <f>SUMIFS('List Expenses'!$C$3:$C$100000,
        'List Expenses'!$B$3:$B$100000, 'Yearly expenses'!$C100,
        'List Expenses'!$A$3:$A$100000, "&gt;=" &amp; DATE('Cash flow'!$E$3, 7, 1),
        'List Expenses'!$A$3:$A$100000, "&lt;"  &amp; DATE('Cash flow'!$E$3, 8, 1))</f>
        <v>0</v>
      </c>
      <c r="E164" s="2"/>
    </row>
    <row r="165" spans="2:5" ht="30" customHeight="1" x14ac:dyDescent="0.3">
      <c r="B165" s="2"/>
      <c r="C165" s="32" t="s">
        <v>32</v>
      </c>
      <c r="D165" s="31">
        <f>SUMIFS('List Expenses'!$C$3:$C$100000,
        'List Expenses'!$B$3:$B$100000, 'Yearly expenses'!$C101,
        'List Expenses'!$A$3:$A$100000, "&gt;=" &amp; DATE('Cash flow'!$E$3, 7, 1),
        'List Expenses'!$A$3:$A$100000, "&lt;"  &amp; DATE('Cash flow'!$E$3, 8, 1))</f>
        <v>0</v>
      </c>
      <c r="E165" s="2"/>
    </row>
    <row r="166" spans="2:5" ht="30" customHeight="1" x14ac:dyDescent="0.3">
      <c r="B166" s="2"/>
      <c r="C166" s="32" t="s">
        <v>8</v>
      </c>
      <c r="D166" s="31">
        <f>SUMIFS('List Expenses'!$C$3:$C$100000,
        'List Expenses'!$B$3:$B$100000, 'Yearly expenses'!$C102,
        'List Expenses'!$A$3:$A$100000, "&gt;=" &amp; DATE('Cash flow'!$E$3, 7, 1),
        'List Expenses'!$A$3:$A$100000, "&lt;"  &amp; DATE('Cash flow'!$E$3, 8, 1))</f>
        <v>0</v>
      </c>
      <c r="E166" s="2"/>
    </row>
    <row r="167" spans="2:5" ht="30" customHeight="1" x14ac:dyDescent="0.3">
      <c r="B167" s="2"/>
      <c r="C167" s="32" t="s">
        <v>9</v>
      </c>
      <c r="D167" s="31">
        <f>SUMIFS('List Expenses'!$C$3:$C$100000,
        'List Expenses'!$B$3:$B$100000, 'Yearly expenses'!$C103,
        'List Expenses'!$A$3:$A$100000, "&gt;=" &amp; DATE('Cash flow'!$E$3, 7, 1),
        'List Expenses'!$A$3:$A$100000, "&lt;"  &amp; DATE('Cash flow'!$E$3, 8, 1))</f>
        <v>0</v>
      </c>
      <c r="E167" s="2"/>
    </row>
    <row r="168" spans="2:5" ht="30" customHeight="1" x14ac:dyDescent="0.3">
      <c r="B168" s="2"/>
      <c r="C168" s="33" t="s">
        <v>11</v>
      </c>
      <c r="D168" s="34">
        <f>SUBTOTAL(109,Expenses522[Actual])</f>
        <v>0</v>
      </c>
      <c r="E168" s="2"/>
    </row>
    <row r="169" spans="2:5" ht="30" customHeight="1" x14ac:dyDescent="0.3">
      <c r="B169" s="2"/>
      <c r="C169" s="35"/>
      <c r="D169" s="36"/>
      <c r="E169" s="2"/>
    </row>
    <row r="171" spans="2:5" ht="30" customHeight="1" x14ac:dyDescent="0.3">
      <c r="B171" s="2"/>
      <c r="C171" s="35"/>
      <c r="D171" s="36"/>
      <c r="E171" s="2"/>
    </row>
    <row r="172" spans="2:5" ht="30" customHeight="1" thickBot="1" x14ac:dyDescent="0.35">
      <c r="B172" s="2"/>
      <c r="C172" s="54" t="s">
        <v>59</v>
      </c>
      <c r="D172" s="54"/>
      <c r="E172" s="2"/>
    </row>
    <row r="173" spans="2:5" ht="30" customHeight="1" x14ac:dyDescent="0.3">
      <c r="B173" s="2"/>
      <c r="C173" s="39"/>
      <c r="D173" s="40"/>
      <c r="E173" s="2"/>
    </row>
    <row r="174" spans="2:5" ht="30" customHeight="1" x14ac:dyDescent="0.3">
      <c r="B174" s="2"/>
      <c r="C174" s="33" t="s">
        <v>14</v>
      </c>
      <c r="D174" s="41" t="s">
        <v>1</v>
      </c>
      <c r="E174" s="2"/>
    </row>
    <row r="175" spans="2:5" ht="30" customHeight="1" x14ac:dyDescent="0.3">
      <c r="B175" s="2"/>
      <c r="C175" s="30" t="s">
        <v>22</v>
      </c>
      <c r="D175" s="31">
        <f>SUMIFS('List Expenses'!$C$3:$C$100000,
        'List Expenses'!$B$3:$B$100000, 'Yearly expenses'!$C111,
        'List Expenses'!$A$3:$A$100000, "&gt;=" &amp; DATE('Cash flow'!$E$3, 8, 1),
        'List Expenses'!$A$3:$A$100000, "&lt;"  &amp; DATE('Cash flow'!$E$3, 9, 1))</f>
        <v>0</v>
      </c>
      <c r="E175" s="2"/>
    </row>
    <row r="176" spans="2:5" ht="30" customHeight="1" x14ac:dyDescent="0.3">
      <c r="B176" s="2"/>
      <c r="C176" s="30" t="s">
        <v>5</v>
      </c>
      <c r="D176" s="31">
        <f>SUMIFS('List Expenses'!$C$3:$C$100000,
        'List Expenses'!$B$3:$B$100000, 'Yearly expenses'!$C112,
        'List Expenses'!$A$3:$A$100000, "&gt;=" &amp; DATE('Cash flow'!$E$3, 8, 1),
        'List Expenses'!$A$3:$A$100000, "&lt;"  &amp; DATE('Cash flow'!$E$3, 9, 1))</f>
        <v>0</v>
      </c>
      <c r="E176" s="2"/>
    </row>
    <row r="177" spans="2:5" ht="30" customHeight="1" x14ac:dyDescent="0.3">
      <c r="B177" s="2"/>
      <c r="C177" s="30" t="s">
        <v>41</v>
      </c>
      <c r="D177" s="31">
        <f>SUMIFS('List Expenses'!$C$3:$C$100000,
        'List Expenses'!$B$3:$B$100000, 'Yearly expenses'!$C113,
        'List Expenses'!$A$3:$A$100000, "&gt;=" &amp; DATE('Cash flow'!$E$3, 8, 1),
        'List Expenses'!$A$3:$A$100000, "&lt;"  &amp; DATE('Cash flow'!$E$3, 9, 1))</f>
        <v>0</v>
      </c>
      <c r="E177" s="2"/>
    </row>
    <row r="178" spans="2:5" ht="30" customHeight="1" x14ac:dyDescent="0.3">
      <c r="B178" s="2"/>
      <c r="C178" s="30" t="s">
        <v>23</v>
      </c>
      <c r="D178" s="31">
        <f>SUMIFS('List Expenses'!$C$3:$C$100000,
        'List Expenses'!$B$3:$B$100000, 'Yearly expenses'!$C114,
        'List Expenses'!$A$3:$A$100000, "&gt;=" &amp; DATE('Cash flow'!$E$3, 8, 1),
        'List Expenses'!$A$3:$A$100000, "&lt;"  &amp; DATE('Cash flow'!$E$3, 9, 1))</f>
        <v>0</v>
      </c>
      <c r="E178" s="2"/>
    </row>
    <row r="179" spans="2:5" ht="30" customHeight="1" x14ac:dyDescent="0.3">
      <c r="B179" s="2"/>
      <c r="C179" s="30" t="s">
        <v>24</v>
      </c>
      <c r="D179" s="31">
        <f>SUMIFS('List Expenses'!$C$3:$C$100000,
        'List Expenses'!$B$3:$B$100000, 'Yearly expenses'!$C115,
        'List Expenses'!$A$3:$A$100000, "&gt;=" &amp; DATE('Cash flow'!$E$3, 8, 1),
        'List Expenses'!$A$3:$A$100000, "&lt;"  &amp; DATE('Cash flow'!$E$3, 9, 1))</f>
        <v>0</v>
      </c>
      <c r="E179" s="2"/>
    </row>
    <row r="180" spans="2:5" ht="30" customHeight="1" x14ac:dyDescent="0.3">
      <c r="B180" s="2"/>
      <c r="C180" s="30" t="s">
        <v>25</v>
      </c>
      <c r="D180" s="31">
        <f>SUMIFS('List Expenses'!$C$3:$C$100000,
        'List Expenses'!$B$3:$B$100000, 'Yearly expenses'!$C116,
        'List Expenses'!$A$3:$A$100000, "&gt;=" &amp; DATE('Cash flow'!$E$3, 8, 1),
        'List Expenses'!$A$3:$A$100000, "&lt;"  &amp; DATE('Cash flow'!$E$3, 9, 1))</f>
        <v>0</v>
      </c>
      <c r="E180" s="2"/>
    </row>
    <row r="181" spans="2:5" ht="30" customHeight="1" x14ac:dyDescent="0.3">
      <c r="B181" s="2"/>
      <c r="C181" s="32" t="s">
        <v>34</v>
      </c>
      <c r="D181" s="31">
        <f>SUMIFS('List Expenses'!$C$3:$C$100000,
        'List Expenses'!$B$3:$B$100000, 'Yearly expenses'!$C117,
        'List Expenses'!$A$3:$A$100000, "&gt;=" &amp; DATE('Cash flow'!$E$3, 8, 1),
        'List Expenses'!$A$3:$A$100000, "&lt;"  &amp; DATE('Cash flow'!$E$3, 9, 1))</f>
        <v>0</v>
      </c>
      <c r="E181" s="2"/>
    </row>
    <row r="182" spans="2:5" ht="30" customHeight="1" x14ac:dyDescent="0.3">
      <c r="B182" s="2"/>
      <c r="C182" s="32" t="s">
        <v>6</v>
      </c>
      <c r="D182" s="31">
        <f>SUMIFS('List Expenses'!$C$3:$C$100000,
        'List Expenses'!$B$3:$B$100000, 'Yearly expenses'!$C118,
        'List Expenses'!$A$3:$A$100000, "&gt;=" &amp; DATE('Cash flow'!$E$3, 8, 1),
        'List Expenses'!$A$3:$A$100000, "&lt;"  &amp; DATE('Cash flow'!$E$3, 9, 1))</f>
        <v>0</v>
      </c>
      <c r="E182" s="2"/>
    </row>
    <row r="183" spans="2:5" ht="30" customHeight="1" x14ac:dyDescent="0.3">
      <c r="B183" s="2"/>
      <c r="C183" s="32" t="s">
        <v>12</v>
      </c>
      <c r="D183" s="31">
        <f>SUMIFS('List Expenses'!$C$3:$C$100000,
        'List Expenses'!$B$3:$B$100000, 'Yearly expenses'!$C119,
        'List Expenses'!$A$3:$A$100000, "&gt;=" &amp; DATE('Cash flow'!$E$3, 8, 1),
        'List Expenses'!$A$3:$A$100000, "&lt;"  &amp; DATE('Cash flow'!$E$3, 9, 1))</f>
        <v>0</v>
      </c>
      <c r="E183" s="2"/>
    </row>
    <row r="184" spans="2:5" ht="30" customHeight="1" x14ac:dyDescent="0.3">
      <c r="B184" s="2"/>
      <c r="C184" s="32" t="s">
        <v>13</v>
      </c>
      <c r="D184" s="31">
        <f>SUMIFS('List Expenses'!$C$3:$C$100000,
        'List Expenses'!$B$3:$B$100000, 'Yearly expenses'!$C120,
        'List Expenses'!$A$3:$A$100000, "&gt;=" &amp; DATE('Cash flow'!$E$3, 8, 1),
        'List Expenses'!$A$3:$A$100000, "&lt;"  &amp; DATE('Cash flow'!$E$3, 9, 1))</f>
        <v>0</v>
      </c>
      <c r="E184" s="2"/>
    </row>
    <row r="185" spans="2:5" ht="30" customHeight="1" x14ac:dyDescent="0.3">
      <c r="B185" s="2"/>
      <c r="C185" s="32" t="s">
        <v>7</v>
      </c>
      <c r="D185" s="31">
        <f>SUMIFS('List Expenses'!$C$3:$C$100000,
        'List Expenses'!$B$3:$B$100000, 'Yearly expenses'!$C121,
        'List Expenses'!$A$3:$A$100000, "&gt;=" &amp; DATE('Cash flow'!$E$3, 8, 1),
        'List Expenses'!$A$3:$A$100000, "&lt;"  &amp; DATE('Cash flow'!$E$3, 9, 1))</f>
        <v>0</v>
      </c>
      <c r="E185" s="2"/>
    </row>
    <row r="186" spans="2:5" ht="30" customHeight="1" x14ac:dyDescent="0.3">
      <c r="B186" s="2"/>
      <c r="C186" s="32" t="s">
        <v>32</v>
      </c>
      <c r="D186" s="31">
        <f>SUMIFS('List Expenses'!$C$3:$C$100000,
        'List Expenses'!$B$3:$B$100000, 'Yearly expenses'!$C122,
        'List Expenses'!$A$3:$A$100000, "&gt;=" &amp; DATE('Cash flow'!$E$3, 8, 1),
        'List Expenses'!$A$3:$A$100000, "&lt;"  &amp; DATE('Cash flow'!$E$3, 9, 1))</f>
        <v>0</v>
      </c>
      <c r="E186" s="2"/>
    </row>
    <row r="187" spans="2:5" ht="30" customHeight="1" x14ac:dyDescent="0.3">
      <c r="B187" s="2"/>
      <c r="C187" s="32" t="s">
        <v>8</v>
      </c>
      <c r="D187" s="31">
        <f>SUMIFS('List Expenses'!$C$3:$C$100000,
        'List Expenses'!$B$3:$B$100000, 'Yearly expenses'!$C123,
        'List Expenses'!$A$3:$A$100000, "&gt;=" &amp; DATE('Cash flow'!$E$3, 8, 1),
        'List Expenses'!$A$3:$A$100000, "&lt;"  &amp; DATE('Cash flow'!$E$3, 9, 1))</f>
        <v>0</v>
      </c>
      <c r="E187" s="2"/>
    </row>
    <row r="188" spans="2:5" ht="30" customHeight="1" x14ac:dyDescent="0.3">
      <c r="B188" s="2"/>
      <c r="C188" s="32" t="s">
        <v>9</v>
      </c>
      <c r="D188" s="31">
        <f>SUMIFS('List Expenses'!$C$3:$C$100000,
        'List Expenses'!$B$3:$B$100000, 'Yearly expenses'!$C124,
        'List Expenses'!$A$3:$A$100000, "&gt;=" &amp; DATE('Cash flow'!$E$3, 8, 1),
        'List Expenses'!$A$3:$A$100000, "&lt;"  &amp; DATE('Cash flow'!$E$3, 9, 1))</f>
        <v>0</v>
      </c>
      <c r="E188" s="2"/>
    </row>
    <row r="189" spans="2:5" ht="30" customHeight="1" x14ac:dyDescent="0.3">
      <c r="B189" s="2"/>
      <c r="C189" s="33" t="s">
        <v>11</v>
      </c>
      <c r="D189" s="34">
        <f>SUBTOTAL(109,Expenses523[Actual])</f>
        <v>0</v>
      </c>
      <c r="E189" s="2"/>
    </row>
    <row r="190" spans="2:5" ht="30" customHeight="1" x14ac:dyDescent="0.3">
      <c r="B190" s="2"/>
      <c r="C190" s="35"/>
      <c r="D190" s="36"/>
      <c r="E190" s="2"/>
    </row>
    <row r="192" spans="2:5" ht="30" customHeight="1" x14ac:dyDescent="0.3">
      <c r="B192" s="2"/>
      <c r="C192" s="35"/>
      <c r="D192" s="36"/>
      <c r="E192" s="2"/>
    </row>
    <row r="193" spans="2:5" ht="30" customHeight="1" thickBot="1" x14ac:dyDescent="0.35">
      <c r="B193" s="2"/>
      <c r="C193" s="54" t="s">
        <v>60</v>
      </c>
      <c r="D193" s="54"/>
      <c r="E193" s="2"/>
    </row>
    <row r="194" spans="2:5" ht="30" customHeight="1" x14ac:dyDescent="0.3">
      <c r="B194" s="2"/>
      <c r="C194" s="39"/>
      <c r="D194" s="40"/>
      <c r="E194" s="2"/>
    </row>
    <row r="195" spans="2:5" ht="30" customHeight="1" x14ac:dyDescent="0.3">
      <c r="B195" s="2"/>
      <c r="C195" s="33" t="s">
        <v>14</v>
      </c>
      <c r="D195" s="41" t="s">
        <v>1</v>
      </c>
      <c r="E195" s="2"/>
    </row>
    <row r="196" spans="2:5" ht="30" customHeight="1" x14ac:dyDescent="0.3">
      <c r="B196" s="2"/>
      <c r="C196" s="30" t="s">
        <v>22</v>
      </c>
      <c r="D196" s="31">
        <f>SUMIFS('List Expenses'!$C$3:$C$100000,
        'List Expenses'!$B$3:$B$100000, 'Yearly expenses'!$C132,
        'List Expenses'!$A$3:$A$100000, "&gt;=" &amp; DATE('Cash flow'!$E$3, 9, 1),
        'List Expenses'!$A$3:$A$100000, "&lt;"  &amp; DATE('Cash flow'!$E$3, 10, 1))</f>
        <v>0</v>
      </c>
      <c r="E196" s="2"/>
    </row>
    <row r="197" spans="2:5" ht="30" customHeight="1" x14ac:dyDescent="0.3">
      <c r="B197" s="2"/>
      <c r="C197" s="30" t="s">
        <v>5</v>
      </c>
      <c r="D197" s="31">
        <f>SUMIFS('List Expenses'!$C$3:$C$100000,
        'List Expenses'!$B$3:$B$100000, 'Yearly expenses'!$C133,
        'List Expenses'!$A$3:$A$100000, "&gt;=" &amp; DATE('Cash flow'!$E$3, 9, 1),
        'List Expenses'!$A$3:$A$100000, "&lt;"  &amp; DATE('Cash flow'!$E$3, 10, 1))</f>
        <v>0</v>
      </c>
      <c r="E197" s="2"/>
    </row>
    <row r="198" spans="2:5" ht="30" customHeight="1" x14ac:dyDescent="0.3">
      <c r="B198" s="2"/>
      <c r="C198" s="30" t="s">
        <v>41</v>
      </c>
      <c r="D198" s="31">
        <f>SUMIFS('List Expenses'!$C$3:$C$100000,
        'List Expenses'!$B$3:$B$100000, 'Yearly expenses'!$C134,
        'List Expenses'!$A$3:$A$100000, "&gt;=" &amp; DATE('Cash flow'!$E$3, 9, 1),
        'List Expenses'!$A$3:$A$100000, "&lt;"  &amp; DATE('Cash flow'!$E$3, 10, 1))</f>
        <v>0</v>
      </c>
      <c r="E198" s="2"/>
    </row>
    <row r="199" spans="2:5" ht="30" customHeight="1" x14ac:dyDescent="0.3">
      <c r="B199" s="2"/>
      <c r="C199" s="30" t="s">
        <v>23</v>
      </c>
      <c r="D199" s="31">
        <f>SUMIFS('List Expenses'!$C$3:$C$100000,
        'List Expenses'!$B$3:$B$100000, 'Yearly expenses'!$C135,
        'List Expenses'!$A$3:$A$100000, "&gt;=" &amp; DATE('Cash flow'!$E$3, 9, 1),
        'List Expenses'!$A$3:$A$100000, "&lt;"  &amp; DATE('Cash flow'!$E$3, 10, 1))</f>
        <v>0</v>
      </c>
      <c r="E199" s="2"/>
    </row>
    <row r="200" spans="2:5" ht="30" customHeight="1" x14ac:dyDescent="0.3">
      <c r="B200" s="2"/>
      <c r="C200" s="30" t="s">
        <v>24</v>
      </c>
      <c r="D200" s="31">
        <f>SUMIFS('List Expenses'!$C$3:$C$100000,
        'List Expenses'!$B$3:$B$100000, 'Yearly expenses'!$C136,
        'List Expenses'!$A$3:$A$100000, "&gt;=" &amp; DATE('Cash flow'!$E$3, 9, 1),
        'List Expenses'!$A$3:$A$100000, "&lt;"  &amp; DATE('Cash flow'!$E$3, 10, 1))</f>
        <v>0</v>
      </c>
      <c r="E200" s="2"/>
    </row>
    <row r="201" spans="2:5" ht="30" customHeight="1" x14ac:dyDescent="0.3">
      <c r="B201" s="2"/>
      <c r="C201" s="30" t="s">
        <v>25</v>
      </c>
      <c r="D201" s="31">
        <f>SUMIFS('List Expenses'!$C$3:$C$100000,
        'List Expenses'!$B$3:$B$100000, 'Yearly expenses'!$C137,
        'List Expenses'!$A$3:$A$100000, "&gt;=" &amp; DATE('Cash flow'!$E$3, 9, 1),
        'List Expenses'!$A$3:$A$100000, "&lt;"  &amp; DATE('Cash flow'!$E$3, 10, 1))</f>
        <v>0</v>
      </c>
      <c r="E201" s="2"/>
    </row>
    <row r="202" spans="2:5" ht="30" customHeight="1" x14ac:dyDescent="0.3">
      <c r="B202" s="2"/>
      <c r="C202" s="32" t="s">
        <v>34</v>
      </c>
      <c r="D202" s="31">
        <f>SUMIFS('List Expenses'!$C$3:$C$100000,
        'List Expenses'!$B$3:$B$100000, 'Yearly expenses'!$C138,
        'List Expenses'!$A$3:$A$100000, "&gt;=" &amp; DATE('Cash flow'!$E$3, 9, 1),
        'List Expenses'!$A$3:$A$100000, "&lt;"  &amp; DATE('Cash flow'!$E$3, 10, 1))</f>
        <v>0</v>
      </c>
      <c r="E202" s="2"/>
    </row>
    <row r="203" spans="2:5" ht="30" customHeight="1" x14ac:dyDescent="0.3">
      <c r="B203" s="2"/>
      <c r="C203" s="32" t="s">
        <v>6</v>
      </c>
      <c r="D203" s="31">
        <f>SUMIFS('List Expenses'!$C$3:$C$100000,
        'List Expenses'!$B$3:$B$100000, 'Yearly expenses'!$C139,
        'List Expenses'!$A$3:$A$100000, "&gt;=" &amp; DATE('Cash flow'!$E$3, 9, 1),
        'List Expenses'!$A$3:$A$100000, "&lt;"  &amp; DATE('Cash flow'!$E$3, 10, 1))</f>
        <v>0</v>
      </c>
      <c r="E203" s="2"/>
    </row>
    <row r="204" spans="2:5" ht="30" customHeight="1" x14ac:dyDescent="0.3">
      <c r="B204" s="2"/>
      <c r="C204" s="32" t="s">
        <v>12</v>
      </c>
      <c r="D204" s="31">
        <f>SUMIFS('List Expenses'!$C$3:$C$100000,
        'List Expenses'!$B$3:$B$100000, 'Yearly expenses'!$C140,
        'List Expenses'!$A$3:$A$100000, "&gt;=" &amp; DATE('Cash flow'!$E$3, 9, 1),
        'List Expenses'!$A$3:$A$100000, "&lt;"  &amp; DATE('Cash flow'!$E$3, 10, 1))</f>
        <v>0</v>
      </c>
      <c r="E204" s="2"/>
    </row>
    <row r="205" spans="2:5" ht="30" customHeight="1" x14ac:dyDescent="0.3">
      <c r="B205" s="2"/>
      <c r="C205" s="32" t="s">
        <v>13</v>
      </c>
      <c r="D205" s="31">
        <f>SUMIFS('List Expenses'!$C$3:$C$100000,
        'List Expenses'!$B$3:$B$100000, 'Yearly expenses'!$C141,
        'List Expenses'!$A$3:$A$100000, "&gt;=" &amp; DATE('Cash flow'!$E$3, 9, 1),
        'List Expenses'!$A$3:$A$100000, "&lt;"  &amp; DATE('Cash flow'!$E$3, 10, 1))</f>
        <v>0</v>
      </c>
      <c r="E205" s="2"/>
    </row>
    <row r="206" spans="2:5" ht="30" customHeight="1" x14ac:dyDescent="0.3">
      <c r="B206" s="2"/>
      <c r="C206" s="32" t="s">
        <v>7</v>
      </c>
      <c r="D206" s="31">
        <f>SUMIFS('List Expenses'!$C$3:$C$100000,
        'List Expenses'!$B$3:$B$100000, 'Yearly expenses'!$C142,
        'List Expenses'!$A$3:$A$100000, "&gt;=" &amp; DATE('Cash flow'!$E$3, 9, 1),
        'List Expenses'!$A$3:$A$100000, "&lt;"  &amp; DATE('Cash flow'!$E$3, 10, 1))</f>
        <v>0</v>
      </c>
      <c r="E206" s="2"/>
    </row>
    <row r="207" spans="2:5" ht="30" customHeight="1" x14ac:dyDescent="0.3">
      <c r="B207" s="2"/>
      <c r="C207" s="32" t="s">
        <v>32</v>
      </c>
      <c r="D207" s="31">
        <f>SUMIFS('List Expenses'!$C$3:$C$100000,
        'List Expenses'!$B$3:$B$100000, 'Yearly expenses'!$C143,
        'List Expenses'!$A$3:$A$100000, "&gt;=" &amp; DATE('Cash flow'!$E$3, 9, 1),
        'List Expenses'!$A$3:$A$100000, "&lt;"  &amp; DATE('Cash flow'!$E$3, 10, 1))</f>
        <v>0</v>
      </c>
      <c r="E207" s="2"/>
    </row>
    <row r="208" spans="2:5" ht="30" customHeight="1" x14ac:dyDescent="0.3">
      <c r="B208" s="2"/>
      <c r="C208" s="32" t="s">
        <v>8</v>
      </c>
      <c r="D208" s="31">
        <f>SUMIFS('List Expenses'!$C$3:$C$100000,
        'List Expenses'!$B$3:$B$100000, 'Yearly expenses'!$C144,
        'List Expenses'!$A$3:$A$100000, "&gt;=" &amp; DATE('Cash flow'!$E$3, 9, 1),
        'List Expenses'!$A$3:$A$100000, "&lt;"  &amp; DATE('Cash flow'!$E$3, 10, 1))</f>
        <v>0</v>
      </c>
      <c r="E208" s="2"/>
    </row>
    <row r="209" spans="2:5" ht="30" customHeight="1" x14ac:dyDescent="0.3">
      <c r="B209" s="2"/>
      <c r="C209" s="32" t="s">
        <v>9</v>
      </c>
      <c r="D209" s="31">
        <f>SUMIFS('List Expenses'!$C$3:$C$100000,
        'List Expenses'!$B$3:$B$100000, 'Yearly expenses'!$C145,
        'List Expenses'!$A$3:$A$100000, "&gt;=" &amp; DATE('Cash flow'!$E$3, 9, 1),
        'List Expenses'!$A$3:$A$100000, "&lt;"  &amp; DATE('Cash flow'!$E$3, 10, 1))</f>
        <v>0</v>
      </c>
      <c r="E209" s="2"/>
    </row>
    <row r="210" spans="2:5" ht="30" customHeight="1" x14ac:dyDescent="0.3">
      <c r="B210" s="2"/>
      <c r="C210" s="33" t="s">
        <v>11</v>
      </c>
      <c r="D210" s="34">
        <f>SUBTOTAL(109,Expenses524[Actual])</f>
        <v>0</v>
      </c>
      <c r="E210" s="2"/>
    </row>
    <row r="211" spans="2:5" ht="30" customHeight="1" x14ac:dyDescent="0.3">
      <c r="B211" s="2"/>
      <c r="C211" s="35"/>
      <c r="D211" s="36"/>
      <c r="E211" s="2"/>
    </row>
    <row r="213" spans="2:5" ht="30" customHeight="1" x14ac:dyDescent="0.3">
      <c r="B213" s="2"/>
      <c r="C213" s="35"/>
      <c r="D213" s="36"/>
      <c r="E213" s="2"/>
    </row>
    <row r="214" spans="2:5" ht="30" customHeight="1" thickBot="1" x14ac:dyDescent="0.35">
      <c r="B214" s="2"/>
      <c r="C214" s="54" t="s">
        <v>29</v>
      </c>
      <c r="D214" s="54"/>
      <c r="E214" s="2"/>
    </row>
    <row r="215" spans="2:5" ht="30" customHeight="1" x14ac:dyDescent="0.3">
      <c r="B215" s="2"/>
      <c r="C215" s="39"/>
      <c r="D215" s="40"/>
      <c r="E215" s="2"/>
    </row>
    <row r="216" spans="2:5" ht="30" customHeight="1" x14ac:dyDescent="0.3">
      <c r="B216" s="2"/>
      <c r="C216" s="33" t="s">
        <v>14</v>
      </c>
      <c r="D216" s="41" t="s">
        <v>1</v>
      </c>
      <c r="E216" s="2"/>
    </row>
    <row r="217" spans="2:5" ht="30" customHeight="1" x14ac:dyDescent="0.3">
      <c r="B217" s="2"/>
      <c r="C217" s="30" t="s">
        <v>22</v>
      </c>
      <c r="D217" s="31">
        <f>SUMIFS('List Expenses'!$C$3:$C$100000,
        'List Expenses'!$B$3:$B$100000, 'Yearly expenses'!$C153,
        'List Expenses'!$A$3:$A$100000, "&gt;=" &amp; DATE('Cash flow'!$E$3, 10, 1),
        'List Expenses'!$A$3:$A$100000, "&lt;"  &amp; DATE('Cash flow'!$E$3, 11, 1))</f>
        <v>0</v>
      </c>
      <c r="E217" s="2"/>
    </row>
    <row r="218" spans="2:5" ht="30" customHeight="1" x14ac:dyDescent="0.3">
      <c r="B218" s="2"/>
      <c r="C218" s="30" t="s">
        <v>5</v>
      </c>
      <c r="D218" s="31">
        <f>SUMIFS('List Expenses'!$C$3:$C$100000,
        'List Expenses'!$B$3:$B$100000, 'Yearly expenses'!$C154,
        'List Expenses'!$A$3:$A$100000, "&gt;=" &amp; DATE('Cash flow'!$E$3, 10, 1),
        'List Expenses'!$A$3:$A$100000, "&lt;"  &amp; DATE('Cash flow'!$E$3, 11, 1))</f>
        <v>0</v>
      </c>
      <c r="E218" s="2"/>
    </row>
    <row r="219" spans="2:5" ht="30" customHeight="1" x14ac:dyDescent="0.3">
      <c r="B219" s="2"/>
      <c r="C219" s="30" t="s">
        <v>41</v>
      </c>
      <c r="D219" s="31">
        <f>SUMIFS('List Expenses'!$C$3:$C$100000,
        'List Expenses'!$B$3:$B$100000, 'Yearly expenses'!$C155,
        'List Expenses'!$A$3:$A$100000, "&gt;=" &amp; DATE('Cash flow'!$E$3, 10, 1),
        'List Expenses'!$A$3:$A$100000, "&lt;"  &amp; DATE('Cash flow'!$E$3, 11, 1))</f>
        <v>0</v>
      </c>
      <c r="E219" s="2"/>
    </row>
    <row r="220" spans="2:5" ht="30" customHeight="1" x14ac:dyDescent="0.3">
      <c r="B220" s="2"/>
      <c r="C220" s="30" t="s">
        <v>23</v>
      </c>
      <c r="D220" s="31">
        <f>SUMIFS('List Expenses'!$C$3:$C$100000,
        'List Expenses'!$B$3:$B$100000, 'Yearly expenses'!$C156,
        'List Expenses'!$A$3:$A$100000, "&gt;=" &amp; DATE('Cash flow'!$E$3, 10, 1),
        'List Expenses'!$A$3:$A$100000, "&lt;"  &amp; DATE('Cash flow'!$E$3, 11, 1))</f>
        <v>0</v>
      </c>
      <c r="E220" s="2"/>
    </row>
    <row r="221" spans="2:5" ht="30" customHeight="1" x14ac:dyDescent="0.3">
      <c r="B221" s="2"/>
      <c r="C221" s="30" t="s">
        <v>24</v>
      </c>
      <c r="D221" s="31">
        <f>SUMIFS('List Expenses'!$C$3:$C$100000,
        'List Expenses'!$B$3:$B$100000, 'Yearly expenses'!$C157,
        'List Expenses'!$A$3:$A$100000, "&gt;=" &amp; DATE('Cash flow'!$E$3, 10, 1),
        'List Expenses'!$A$3:$A$100000, "&lt;"  &amp; DATE('Cash flow'!$E$3, 11, 1))</f>
        <v>0</v>
      </c>
      <c r="E221" s="2"/>
    </row>
    <row r="222" spans="2:5" ht="30" customHeight="1" x14ac:dyDescent="0.3">
      <c r="B222" s="2"/>
      <c r="C222" s="30" t="s">
        <v>25</v>
      </c>
      <c r="D222" s="31">
        <f>SUMIFS('List Expenses'!$C$3:$C$100000,
        'List Expenses'!$B$3:$B$100000, 'Yearly expenses'!$C158,
        'List Expenses'!$A$3:$A$100000, "&gt;=" &amp; DATE('Cash flow'!$E$3, 10, 1),
        'List Expenses'!$A$3:$A$100000, "&lt;"  &amp; DATE('Cash flow'!$E$3, 11, 1))</f>
        <v>0</v>
      </c>
      <c r="E222" s="2"/>
    </row>
    <row r="223" spans="2:5" ht="30" customHeight="1" x14ac:dyDescent="0.3">
      <c r="B223" s="2"/>
      <c r="C223" s="32" t="s">
        <v>34</v>
      </c>
      <c r="D223" s="31">
        <f>SUMIFS('List Expenses'!$C$3:$C$100000,
        'List Expenses'!$B$3:$B$100000, 'Yearly expenses'!$C159,
        'List Expenses'!$A$3:$A$100000, "&gt;=" &amp; DATE('Cash flow'!$E$3, 10, 1),
        'List Expenses'!$A$3:$A$100000, "&lt;"  &amp; DATE('Cash flow'!$E$3, 11, 1))</f>
        <v>0</v>
      </c>
      <c r="E223" s="2"/>
    </row>
    <row r="224" spans="2:5" ht="30" customHeight="1" x14ac:dyDescent="0.3">
      <c r="B224" s="2"/>
      <c r="C224" s="32" t="s">
        <v>6</v>
      </c>
      <c r="D224" s="31">
        <f>SUMIFS('List Expenses'!$C$3:$C$100000,
        'List Expenses'!$B$3:$B$100000, 'Yearly expenses'!$C160,
        'List Expenses'!$A$3:$A$100000, "&gt;=" &amp; DATE('Cash flow'!$E$3, 10, 1),
        'List Expenses'!$A$3:$A$100000, "&lt;"  &amp; DATE('Cash flow'!$E$3, 11, 1))</f>
        <v>0</v>
      </c>
      <c r="E224" s="2"/>
    </row>
    <row r="225" spans="2:5" ht="30" customHeight="1" x14ac:dyDescent="0.3">
      <c r="B225" s="2"/>
      <c r="C225" s="32" t="s">
        <v>12</v>
      </c>
      <c r="D225" s="31">
        <f>SUMIFS('List Expenses'!$C$3:$C$100000,
        'List Expenses'!$B$3:$B$100000, 'Yearly expenses'!$C161,
        'List Expenses'!$A$3:$A$100000, "&gt;=" &amp; DATE('Cash flow'!$E$3, 10, 1),
        'List Expenses'!$A$3:$A$100000, "&lt;"  &amp; DATE('Cash flow'!$E$3, 11, 1))</f>
        <v>0</v>
      </c>
      <c r="E225" s="2"/>
    </row>
    <row r="226" spans="2:5" ht="30" customHeight="1" x14ac:dyDescent="0.3">
      <c r="B226" s="2"/>
      <c r="C226" s="32" t="s">
        <v>13</v>
      </c>
      <c r="D226" s="31">
        <f>SUMIFS('List Expenses'!$C$3:$C$100000,
        'List Expenses'!$B$3:$B$100000, 'Yearly expenses'!$C162,
        'List Expenses'!$A$3:$A$100000, "&gt;=" &amp; DATE('Cash flow'!$E$3, 10, 1),
        'List Expenses'!$A$3:$A$100000, "&lt;"  &amp; DATE('Cash flow'!$E$3, 11, 1))</f>
        <v>0</v>
      </c>
      <c r="E226" s="2"/>
    </row>
    <row r="227" spans="2:5" ht="30" customHeight="1" x14ac:dyDescent="0.3">
      <c r="B227" s="2"/>
      <c r="C227" s="32" t="s">
        <v>7</v>
      </c>
      <c r="D227" s="31">
        <f>SUMIFS('List Expenses'!$C$3:$C$100000,
        'List Expenses'!$B$3:$B$100000, 'Yearly expenses'!$C163,
        'List Expenses'!$A$3:$A$100000, "&gt;=" &amp; DATE('Cash flow'!$E$3, 10, 1),
        'List Expenses'!$A$3:$A$100000, "&lt;"  &amp; DATE('Cash flow'!$E$3, 11, 1))</f>
        <v>0</v>
      </c>
      <c r="E227" s="2"/>
    </row>
    <row r="228" spans="2:5" ht="30" customHeight="1" x14ac:dyDescent="0.3">
      <c r="B228" s="2"/>
      <c r="C228" s="32" t="s">
        <v>32</v>
      </c>
      <c r="D228" s="31">
        <f>SUMIFS('List Expenses'!$C$3:$C$100000,
        'List Expenses'!$B$3:$B$100000, 'Yearly expenses'!$C164,
        'List Expenses'!$A$3:$A$100000, "&gt;=" &amp; DATE('Cash flow'!$E$3, 10, 1),
        'List Expenses'!$A$3:$A$100000, "&lt;"  &amp; DATE('Cash flow'!$E$3, 11, 1))</f>
        <v>0</v>
      </c>
      <c r="E228" s="2"/>
    </row>
    <row r="229" spans="2:5" ht="30" customHeight="1" x14ac:dyDescent="0.3">
      <c r="B229" s="2"/>
      <c r="C229" s="32" t="s">
        <v>8</v>
      </c>
      <c r="D229" s="31">
        <f>SUMIFS('List Expenses'!$C$3:$C$100000,
        'List Expenses'!$B$3:$B$100000, 'Yearly expenses'!$C165,
        'List Expenses'!$A$3:$A$100000, "&gt;=" &amp; DATE('Cash flow'!$E$3, 10, 1),
        'List Expenses'!$A$3:$A$100000, "&lt;"  &amp; DATE('Cash flow'!$E$3, 11, 1))</f>
        <v>0</v>
      </c>
      <c r="E229" s="2"/>
    </row>
    <row r="230" spans="2:5" ht="30" customHeight="1" x14ac:dyDescent="0.3">
      <c r="B230" s="2"/>
      <c r="C230" s="32" t="s">
        <v>9</v>
      </c>
      <c r="D230" s="31">
        <f>SUMIFS('List Expenses'!$C$3:$C$100000,
        'List Expenses'!$B$3:$B$100000, 'Yearly expenses'!$C166,
        'List Expenses'!$A$3:$A$100000, "&gt;=" &amp; DATE('Cash flow'!$E$3, 10, 1),
        'List Expenses'!$A$3:$A$100000, "&lt;"  &amp; DATE('Cash flow'!$E$3, 11, 1))</f>
        <v>0</v>
      </c>
      <c r="E230" s="2"/>
    </row>
    <row r="231" spans="2:5" ht="30" customHeight="1" x14ac:dyDescent="0.3">
      <c r="B231" s="2"/>
      <c r="C231" s="33" t="s">
        <v>11</v>
      </c>
      <c r="D231" s="34">
        <f>SUBTOTAL(109,Expenses525[Actual])</f>
        <v>0</v>
      </c>
      <c r="E231" s="2"/>
    </row>
    <row r="232" spans="2:5" ht="30" customHeight="1" x14ac:dyDescent="0.3">
      <c r="B232" s="2"/>
      <c r="C232" s="35"/>
      <c r="D232" s="36"/>
      <c r="E232" s="2"/>
    </row>
    <row r="234" spans="2:5" ht="30" customHeight="1" x14ac:dyDescent="0.3">
      <c r="B234" s="2"/>
      <c r="C234" s="35"/>
      <c r="D234" s="36"/>
      <c r="E234" s="2"/>
    </row>
    <row r="235" spans="2:5" ht="30" customHeight="1" thickBot="1" x14ac:dyDescent="0.35">
      <c r="B235" s="2"/>
      <c r="C235" s="54" t="s">
        <v>30</v>
      </c>
      <c r="D235" s="54"/>
      <c r="E235" s="2"/>
    </row>
    <row r="236" spans="2:5" ht="30" customHeight="1" x14ac:dyDescent="0.3">
      <c r="B236" s="2"/>
      <c r="C236" s="39"/>
      <c r="D236" s="40"/>
      <c r="E236" s="2"/>
    </row>
    <row r="237" spans="2:5" ht="30" customHeight="1" x14ac:dyDescent="0.3">
      <c r="B237" s="2"/>
      <c r="C237" s="33" t="s">
        <v>14</v>
      </c>
      <c r="D237" s="41" t="s">
        <v>1</v>
      </c>
      <c r="E237" s="2"/>
    </row>
    <row r="238" spans="2:5" ht="30" customHeight="1" x14ac:dyDescent="0.3">
      <c r="B238" s="2"/>
      <c r="C238" s="30" t="s">
        <v>22</v>
      </c>
      <c r="D238" s="31">
        <f>SUMIFS('List Expenses'!$C$3:$C$100000,
        'List Expenses'!$B$3:$B$100000, 'Yearly expenses'!$C174,
        'List Expenses'!$A$3:$A$100000, "&gt;=" &amp; DATE('Cash flow'!$E$3, 11, 1),
        'List Expenses'!$A$3:$A$100000, "&lt;"  &amp; DATE('Cash flow'!$E$3, 12, 1))</f>
        <v>0</v>
      </c>
      <c r="E238" s="2"/>
    </row>
    <row r="239" spans="2:5" ht="30" customHeight="1" x14ac:dyDescent="0.3">
      <c r="B239" s="2"/>
      <c r="C239" s="30" t="s">
        <v>5</v>
      </c>
      <c r="D239" s="31">
        <f>SUMIFS('List Expenses'!$C$3:$C$100000,
        'List Expenses'!$B$3:$B$100000, 'Yearly expenses'!$C175,
        'List Expenses'!$A$3:$A$100000, "&gt;=" &amp; DATE('Cash flow'!$E$3, 11, 1),
        'List Expenses'!$A$3:$A$100000, "&lt;"  &amp; DATE('Cash flow'!$E$3, 12, 1))</f>
        <v>0</v>
      </c>
      <c r="E239" s="2"/>
    </row>
    <row r="240" spans="2:5" ht="30" customHeight="1" x14ac:dyDescent="0.3">
      <c r="B240" s="2"/>
      <c r="C240" s="30" t="s">
        <v>41</v>
      </c>
      <c r="D240" s="31">
        <f>SUMIFS('List Expenses'!$C$3:$C$100000,
        'List Expenses'!$B$3:$B$100000, 'Yearly expenses'!$C176,
        'List Expenses'!$A$3:$A$100000, "&gt;=" &amp; DATE('Cash flow'!$E$3, 11, 1),
        'List Expenses'!$A$3:$A$100000, "&lt;"  &amp; DATE('Cash flow'!$E$3, 12, 1))</f>
        <v>0</v>
      </c>
      <c r="E240" s="2"/>
    </row>
    <row r="241" spans="2:5" ht="30" customHeight="1" x14ac:dyDescent="0.3">
      <c r="B241" s="2"/>
      <c r="C241" s="30" t="s">
        <v>23</v>
      </c>
      <c r="D241" s="31">
        <f>SUMIFS('List Expenses'!$C$3:$C$100000,
        'List Expenses'!$B$3:$B$100000, 'Yearly expenses'!$C177,
        'List Expenses'!$A$3:$A$100000, "&gt;=" &amp; DATE('Cash flow'!$E$3, 11, 1),
        'List Expenses'!$A$3:$A$100000, "&lt;"  &amp; DATE('Cash flow'!$E$3, 12, 1))</f>
        <v>0</v>
      </c>
      <c r="E241" s="2"/>
    </row>
    <row r="242" spans="2:5" ht="30" customHeight="1" x14ac:dyDescent="0.3">
      <c r="B242" s="2"/>
      <c r="C242" s="30" t="s">
        <v>24</v>
      </c>
      <c r="D242" s="31">
        <f>SUMIFS('List Expenses'!$C$3:$C$100000,
        'List Expenses'!$B$3:$B$100000, 'Yearly expenses'!$C178,
        'List Expenses'!$A$3:$A$100000, "&gt;=" &amp; DATE('Cash flow'!$E$3, 11, 1),
        'List Expenses'!$A$3:$A$100000, "&lt;"  &amp; DATE('Cash flow'!$E$3, 12, 1))</f>
        <v>0</v>
      </c>
      <c r="E242" s="2"/>
    </row>
    <row r="243" spans="2:5" ht="30" customHeight="1" x14ac:dyDescent="0.3">
      <c r="B243" s="2"/>
      <c r="C243" s="30" t="s">
        <v>25</v>
      </c>
      <c r="D243" s="31">
        <f>SUMIFS('List Expenses'!$C$3:$C$100000,
        'List Expenses'!$B$3:$B$100000, 'Yearly expenses'!$C179,
        'List Expenses'!$A$3:$A$100000, "&gt;=" &amp; DATE('Cash flow'!$E$3, 11, 1),
        'List Expenses'!$A$3:$A$100000, "&lt;"  &amp; DATE('Cash flow'!$E$3, 12, 1))</f>
        <v>0</v>
      </c>
      <c r="E243" s="2"/>
    </row>
    <row r="244" spans="2:5" ht="30" customHeight="1" x14ac:dyDescent="0.3">
      <c r="B244" s="2"/>
      <c r="C244" s="32" t="s">
        <v>34</v>
      </c>
      <c r="D244" s="31">
        <f>SUMIFS('List Expenses'!$C$3:$C$100000,
        'List Expenses'!$B$3:$B$100000, 'Yearly expenses'!$C180,
        'List Expenses'!$A$3:$A$100000, "&gt;=" &amp; DATE('Cash flow'!$E$3, 11, 1),
        'List Expenses'!$A$3:$A$100000, "&lt;"  &amp; DATE('Cash flow'!$E$3, 12, 1))</f>
        <v>0</v>
      </c>
      <c r="E244" s="2"/>
    </row>
    <row r="245" spans="2:5" ht="30" customHeight="1" x14ac:dyDescent="0.3">
      <c r="B245" s="2"/>
      <c r="C245" s="32" t="s">
        <v>6</v>
      </c>
      <c r="D245" s="31">
        <f>SUMIFS('List Expenses'!$C$3:$C$100000,
        'List Expenses'!$B$3:$B$100000, 'Yearly expenses'!$C181,
        'List Expenses'!$A$3:$A$100000, "&gt;=" &amp; DATE('Cash flow'!$E$3, 11, 1),
        'List Expenses'!$A$3:$A$100000, "&lt;"  &amp; DATE('Cash flow'!$E$3, 12, 1))</f>
        <v>0</v>
      </c>
      <c r="E245" s="2"/>
    </row>
    <row r="246" spans="2:5" ht="30" customHeight="1" x14ac:dyDescent="0.3">
      <c r="B246" s="2"/>
      <c r="C246" s="32" t="s">
        <v>12</v>
      </c>
      <c r="D246" s="31">
        <f>SUMIFS('List Expenses'!$C$3:$C$100000,
        'List Expenses'!$B$3:$B$100000, 'Yearly expenses'!$C182,
        'List Expenses'!$A$3:$A$100000, "&gt;=" &amp; DATE('Cash flow'!$E$3, 11, 1),
        'List Expenses'!$A$3:$A$100000, "&lt;"  &amp; DATE('Cash flow'!$E$3, 12, 1))</f>
        <v>0</v>
      </c>
      <c r="E246" s="2"/>
    </row>
    <row r="247" spans="2:5" ht="30" customHeight="1" x14ac:dyDescent="0.3">
      <c r="B247" s="2"/>
      <c r="C247" s="32" t="s">
        <v>13</v>
      </c>
      <c r="D247" s="31">
        <f>SUMIFS('List Expenses'!$C$3:$C$100000,
        'List Expenses'!$B$3:$B$100000, 'Yearly expenses'!$C183,
        'List Expenses'!$A$3:$A$100000, "&gt;=" &amp; DATE('Cash flow'!$E$3, 11, 1),
        'List Expenses'!$A$3:$A$100000, "&lt;"  &amp; DATE('Cash flow'!$E$3, 12, 1))</f>
        <v>0</v>
      </c>
      <c r="E247" s="2"/>
    </row>
    <row r="248" spans="2:5" ht="30" customHeight="1" x14ac:dyDescent="0.3">
      <c r="B248" s="2"/>
      <c r="C248" s="32" t="s">
        <v>7</v>
      </c>
      <c r="D248" s="31">
        <f>SUMIFS('List Expenses'!$C$3:$C$100000,
        'List Expenses'!$B$3:$B$100000, 'Yearly expenses'!$C184,
        'List Expenses'!$A$3:$A$100000, "&gt;=" &amp; DATE('Cash flow'!$E$3, 11, 1),
        'List Expenses'!$A$3:$A$100000, "&lt;"  &amp; DATE('Cash flow'!$E$3, 12, 1))</f>
        <v>0</v>
      </c>
      <c r="E248" s="2"/>
    </row>
    <row r="249" spans="2:5" ht="30" customHeight="1" x14ac:dyDescent="0.3">
      <c r="B249" s="2"/>
      <c r="C249" s="32" t="s">
        <v>32</v>
      </c>
      <c r="D249" s="31">
        <f>SUMIFS('List Expenses'!$C$3:$C$100000,
        'List Expenses'!$B$3:$B$100000, 'Yearly expenses'!$C185,
        'List Expenses'!$A$3:$A$100000, "&gt;=" &amp; DATE('Cash flow'!$E$3, 11, 1),
        'List Expenses'!$A$3:$A$100000, "&lt;"  &amp; DATE('Cash flow'!$E$3, 12, 1))</f>
        <v>0</v>
      </c>
      <c r="E249" s="2"/>
    </row>
    <row r="250" spans="2:5" ht="30" customHeight="1" x14ac:dyDescent="0.3">
      <c r="B250" s="2"/>
      <c r="C250" s="32" t="s">
        <v>8</v>
      </c>
      <c r="D250" s="31">
        <f>SUMIFS('List Expenses'!$C$3:$C$100000,
        'List Expenses'!$B$3:$B$100000, 'Yearly expenses'!$C186,
        'List Expenses'!$A$3:$A$100000, "&gt;=" &amp; DATE('Cash flow'!$E$3, 11, 1),
        'List Expenses'!$A$3:$A$100000, "&lt;"  &amp; DATE('Cash flow'!$E$3, 12, 1))</f>
        <v>0</v>
      </c>
      <c r="E250" s="2"/>
    </row>
    <row r="251" spans="2:5" ht="30" customHeight="1" x14ac:dyDescent="0.3">
      <c r="B251" s="2"/>
      <c r="C251" s="32" t="s">
        <v>9</v>
      </c>
      <c r="D251" s="31">
        <f>SUMIFS('List Expenses'!$C$3:$C$100000,
        'List Expenses'!$B$3:$B$100000, 'Yearly expenses'!$C187,
        'List Expenses'!$A$3:$A$100000, "&gt;=" &amp; DATE('Cash flow'!$E$3, 11, 1),
        'List Expenses'!$A$3:$A$100000, "&lt;"  &amp; DATE('Cash flow'!$E$3, 12, 1))</f>
        <v>0</v>
      </c>
      <c r="E251" s="2"/>
    </row>
    <row r="252" spans="2:5" ht="30" customHeight="1" x14ac:dyDescent="0.3">
      <c r="B252" s="2"/>
      <c r="C252" s="33" t="s">
        <v>11</v>
      </c>
      <c r="D252" s="34">
        <f>SUBTOTAL(109,Expenses526[Actual])</f>
        <v>0</v>
      </c>
      <c r="E252" s="2"/>
    </row>
    <row r="253" spans="2:5" ht="30" customHeight="1" x14ac:dyDescent="0.3">
      <c r="B253" s="2"/>
      <c r="C253" s="35"/>
      <c r="D253" s="36"/>
      <c r="E253" s="2"/>
    </row>
    <row r="255" spans="2:5" ht="30" customHeight="1" x14ac:dyDescent="0.3">
      <c r="B255" s="2"/>
      <c r="C255" s="35"/>
      <c r="D255" s="36"/>
      <c r="E255" s="2"/>
    </row>
    <row r="256" spans="2:5" ht="30" customHeight="1" thickBot="1" x14ac:dyDescent="0.35">
      <c r="B256" s="2"/>
      <c r="C256" s="54" t="s">
        <v>31</v>
      </c>
      <c r="D256" s="54"/>
      <c r="E256" s="2"/>
    </row>
    <row r="257" spans="2:5" ht="30" customHeight="1" x14ac:dyDescent="0.3">
      <c r="B257" s="2"/>
      <c r="C257" s="39"/>
      <c r="D257" s="40"/>
      <c r="E257" s="2"/>
    </row>
    <row r="258" spans="2:5" ht="30" customHeight="1" x14ac:dyDescent="0.3">
      <c r="B258" s="2"/>
      <c r="C258" s="33" t="s">
        <v>14</v>
      </c>
      <c r="D258" s="41" t="s">
        <v>1</v>
      </c>
      <c r="E258" s="2"/>
    </row>
    <row r="259" spans="2:5" ht="30" customHeight="1" x14ac:dyDescent="0.3">
      <c r="B259" s="2"/>
      <c r="C259" s="30" t="s">
        <v>22</v>
      </c>
      <c r="D259" s="31">
        <f>SUMIFS('List Expenses'!$C$3:$C$100000,
        'List Expenses'!$B$3:$B$100000, 'Yearly expenses'!$C195,
        'List Expenses'!$A$3:$A$100000, "&gt;=" &amp; DATE('Cash flow'!$E$3, 12, 1),
        'List Expenses'!$A$3:$A$100000, "&lt;"  &amp; DATE('Cash flow'!$E$3+1, 1, 1))</f>
        <v>0</v>
      </c>
      <c r="E259" s="2"/>
    </row>
    <row r="260" spans="2:5" ht="30" customHeight="1" x14ac:dyDescent="0.3">
      <c r="B260" s="2"/>
      <c r="C260" s="30" t="s">
        <v>5</v>
      </c>
      <c r="D260" s="31">
        <f>SUMIFS('List Expenses'!$C$3:$C$100000,
        'List Expenses'!$B$3:$B$100000, 'Yearly expenses'!$C196,
        'List Expenses'!$A$3:$A$100000, "&gt;=" &amp; DATE('Cash flow'!$E$3, 12, 1),
        'List Expenses'!$A$3:$A$100000, "&lt;"  &amp; DATE('Cash flow'!$E$3+1, 1, 1))</f>
        <v>0</v>
      </c>
      <c r="E260" s="2"/>
    </row>
    <row r="261" spans="2:5" ht="30" customHeight="1" x14ac:dyDescent="0.3">
      <c r="B261" s="2"/>
      <c r="C261" s="30" t="s">
        <v>41</v>
      </c>
      <c r="D261" s="31">
        <f>SUMIFS('List Expenses'!$C$3:$C$100000,
        'List Expenses'!$B$3:$B$100000, 'Yearly expenses'!$C197,
        'List Expenses'!$A$3:$A$100000, "&gt;=" &amp; DATE('Cash flow'!$E$3, 12, 1),
        'List Expenses'!$A$3:$A$100000, "&lt;"  &amp; DATE('Cash flow'!$E$3+1, 1, 1))</f>
        <v>0</v>
      </c>
      <c r="E261" s="2"/>
    </row>
    <row r="262" spans="2:5" ht="30" customHeight="1" x14ac:dyDescent="0.3">
      <c r="B262" s="2"/>
      <c r="C262" s="30" t="s">
        <v>23</v>
      </c>
      <c r="D262" s="31">
        <f>SUMIFS('List Expenses'!$C$3:$C$100000,
        'List Expenses'!$B$3:$B$100000, 'Yearly expenses'!$C198,
        'List Expenses'!$A$3:$A$100000, "&gt;=" &amp; DATE('Cash flow'!$E$3, 12, 1),
        'List Expenses'!$A$3:$A$100000, "&lt;"  &amp; DATE('Cash flow'!$E$3+1, 1, 1))</f>
        <v>0</v>
      </c>
      <c r="E262" s="2"/>
    </row>
    <row r="263" spans="2:5" ht="30" customHeight="1" x14ac:dyDescent="0.3">
      <c r="B263" s="2"/>
      <c r="C263" s="30" t="s">
        <v>24</v>
      </c>
      <c r="D263" s="31">
        <f>SUMIFS('List Expenses'!$C$3:$C$100000,
        'List Expenses'!$B$3:$B$100000, 'Yearly expenses'!$C199,
        'List Expenses'!$A$3:$A$100000, "&gt;=" &amp; DATE('Cash flow'!$E$3, 12, 1),
        'List Expenses'!$A$3:$A$100000, "&lt;"  &amp; DATE('Cash flow'!$E$3+1, 1, 1))</f>
        <v>0</v>
      </c>
      <c r="E263" s="2"/>
    </row>
    <row r="264" spans="2:5" ht="30" customHeight="1" x14ac:dyDescent="0.3">
      <c r="B264" s="2"/>
      <c r="C264" s="30" t="s">
        <v>25</v>
      </c>
      <c r="D264" s="31">
        <f>SUMIFS('List Expenses'!$C$3:$C$100000,
        'List Expenses'!$B$3:$B$100000, 'Yearly expenses'!$C200,
        'List Expenses'!$A$3:$A$100000, "&gt;=" &amp; DATE('Cash flow'!$E$3, 12, 1),
        'List Expenses'!$A$3:$A$100000, "&lt;"  &amp; DATE('Cash flow'!$E$3+1, 1, 1))</f>
        <v>0</v>
      </c>
      <c r="E264" s="2"/>
    </row>
    <row r="265" spans="2:5" ht="30" customHeight="1" x14ac:dyDescent="0.3">
      <c r="B265" s="2"/>
      <c r="C265" s="32" t="s">
        <v>34</v>
      </c>
      <c r="D265" s="31">
        <f>SUMIFS('List Expenses'!$C$3:$C$100000,
        'List Expenses'!$B$3:$B$100000, 'Yearly expenses'!$C201,
        'List Expenses'!$A$3:$A$100000, "&gt;=" &amp; DATE('Cash flow'!$E$3, 12, 1),
        'List Expenses'!$A$3:$A$100000, "&lt;"  &amp; DATE('Cash flow'!$E$3+1, 1, 1))</f>
        <v>0</v>
      </c>
      <c r="E265" s="2"/>
    </row>
    <row r="266" spans="2:5" ht="30" customHeight="1" x14ac:dyDescent="0.3">
      <c r="B266" s="2"/>
      <c r="C266" s="32" t="s">
        <v>6</v>
      </c>
      <c r="D266" s="31">
        <f>SUMIFS('List Expenses'!$C$3:$C$100000,
        'List Expenses'!$B$3:$B$100000, 'Yearly expenses'!$C202,
        'List Expenses'!$A$3:$A$100000, "&gt;=" &amp; DATE('Cash flow'!$E$3, 12, 1),
        'List Expenses'!$A$3:$A$100000, "&lt;"  &amp; DATE('Cash flow'!$E$3+1, 1, 1))</f>
        <v>0</v>
      </c>
      <c r="E266" s="2"/>
    </row>
    <row r="267" spans="2:5" ht="30" customHeight="1" x14ac:dyDescent="0.3">
      <c r="B267" s="2"/>
      <c r="C267" s="32" t="s">
        <v>12</v>
      </c>
      <c r="D267" s="31">
        <f>SUMIFS('List Expenses'!$C$3:$C$100000,
        'List Expenses'!$B$3:$B$100000, 'Yearly expenses'!$C203,
        'List Expenses'!$A$3:$A$100000, "&gt;=" &amp; DATE('Cash flow'!$E$3, 12, 1),
        'List Expenses'!$A$3:$A$100000, "&lt;"  &amp; DATE('Cash flow'!$E$3+1, 1, 1))</f>
        <v>0</v>
      </c>
      <c r="E267" s="2"/>
    </row>
    <row r="268" spans="2:5" ht="30" customHeight="1" x14ac:dyDescent="0.3">
      <c r="B268" s="2"/>
      <c r="C268" s="32" t="s">
        <v>13</v>
      </c>
      <c r="D268" s="31">
        <f>SUMIFS('List Expenses'!$C$3:$C$100000,
        'List Expenses'!$B$3:$B$100000, 'Yearly expenses'!$C204,
        'List Expenses'!$A$3:$A$100000, "&gt;=" &amp; DATE('Cash flow'!$E$3, 12, 1),
        'List Expenses'!$A$3:$A$100000, "&lt;"  &amp; DATE('Cash flow'!$E$3+1, 1, 1))</f>
        <v>0</v>
      </c>
      <c r="E268" s="2"/>
    </row>
    <row r="269" spans="2:5" ht="30" customHeight="1" x14ac:dyDescent="0.3">
      <c r="B269" s="2"/>
      <c r="C269" s="32" t="s">
        <v>7</v>
      </c>
      <c r="D269" s="31">
        <f>SUMIFS('List Expenses'!$C$3:$C$100000,
        'List Expenses'!$B$3:$B$100000, 'Yearly expenses'!$C205,
        'List Expenses'!$A$3:$A$100000, "&gt;=" &amp; DATE('Cash flow'!$E$3, 12, 1),
        'List Expenses'!$A$3:$A$100000, "&lt;"  &amp; DATE('Cash flow'!$E$3+1, 1, 1))</f>
        <v>0</v>
      </c>
      <c r="E269" s="2"/>
    </row>
    <row r="270" spans="2:5" ht="30" customHeight="1" x14ac:dyDescent="0.3">
      <c r="B270" s="2"/>
      <c r="C270" s="32" t="s">
        <v>32</v>
      </c>
      <c r="D270" s="31">
        <f>SUMIFS('List Expenses'!$C$3:$C$100000,
        'List Expenses'!$B$3:$B$100000, 'Yearly expenses'!$C206,
        'List Expenses'!$A$3:$A$100000, "&gt;=" &amp; DATE('Cash flow'!$E$3, 12, 1),
        'List Expenses'!$A$3:$A$100000, "&lt;"  &amp; DATE('Cash flow'!$E$3+1, 1, 1))</f>
        <v>0</v>
      </c>
      <c r="E270" s="2"/>
    </row>
    <row r="271" spans="2:5" ht="30" customHeight="1" x14ac:dyDescent="0.3">
      <c r="B271" s="2"/>
      <c r="C271" s="32" t="s">
        <v>8</v>
      </c>
      <c r="D271" s="31">
        <f>SUMIFS('List Expenses'!$C$3:$C$100000,
        'List Expenses'!$B$3:$B$100000, 'Yearly expenses'!$C207,
        'List Expenses'!$A$3:$A$100000, "&gt;=" &amp; DATE('Cash flow'!$E$3, 12, 1),
        'List Expenses'!$A$3:$A$100000, "&lt;"  &amp; DATE('Cash flow'!$E$3+1, 1, 1))</f>
        <v>0</v>
      </c>
      <c r="E271" s="2"/>
    </row>
    <row r="272" spans="2:5" ht="30" customHeight="1" x14ac:dyDescent="0.3">
      <c r="B272" s="2"/>
      <c r="C272" s="32" t="s">
        <v>9</v>
      </c>
      <c r="D272" s="31">
        <f>SUMIFS('List Expenses'!$C$3:$C$100000,
        'List Expenses'!$B$3:$B$100000, 'Yearly expenses'!$C208,
        'List Expenses'!$A$3:$A$100000, "&gt;=" &amp; DATE('Cash flow'!$E$3, 12, 1),
        'List Expenses'!$A$3:$A$100000, "&lt;"  &amp; DATE('Cash flow'!$E$3+1, 1, 1))</f>
        <v>0</v>
      </c>
      <c r="E272" s="2"/>
    </row>
    <row r="273" spans="2:5" ht="30" customHeight="1" x14ac:dyDescent="0.3">
      <c r="B273" s="2"/>
      <c r="C273" s="33" t="s">
        <v>11</v>
      </c>
      <c r="D273" s="34">
        <f>SUBTOTAL(109,Expenses527[Actual])</f>
        <v>0</v>
      </c>
      <c r="E273" s="2"/>
    </row>
    <row r="274" spans="2:5" ht="30" customHeight="1" x14ac:dyDescent="0.3">
      <c r="B274" s="2"/>
      <c r="C274" s="35"/>
      <c r="D274" s="36"/>
      <c r="E274" s="2"/>
    </row>
  </sheetData>
  <mergeCells count="13">
    <mergeCell ref="C214:D214"/>
    <mergeCell ref="C235:D235"/>
    <mergeCell ref="C256:D256"/>
    <mergeCell ref="C109:D109"/>
    <mergeCell ref="C130:D130"/>
    <mergeCell ref="C151:D151"/>
    <mergeCell ref="C172:D172"/>
    <mergeCell ref="C193:D193"/>
    <mergeCell ref="C3:D3"/>
    <mergeCell ref="C25:D25"/>
    <mergeCell ref="C46:D46"/>
    <mergeCell ref="C67:D67"/>
    <mergeCell ref="C88:D88"/>
  </mergeCells>
  <dataValidations count="4">
    <dataValidation allowBlank="1" showInputMessage="1" showErrorMessage="1" prompt="Enter Monthly Expenses in this column under this heading. Use heading filters to find specific entries" sqref="C5:D5 C27:D27 C48:D48 C69:D69 C90:D90 C111:D111 C132:D132 C153:D153 C174:D174 C195:D195 C216:D216 C237:D237 C258:D258" xr:uid="{00000000-0002-0000-0200-000000000000}"/>
    <dataValidation allowBlank="1" showInputMessage="1" showErrorMessage="1" prompt="Enter Actual expense in this column under this heading" sqref="D5 D27 D48 D69 D90 D111 D132 D153 D174 D195 D216 D237 D258" xr:uid="{00000000-0002-0000-0200-000002000000}"/>
    <dataValidation allowBlank="1" showInputMessage="1" showErrorMessage="1" prompt="Enter Monthly Expenses in this worksheet" sqref="A1" xr:uid="{00000000-0002-0000-0200-000004000000}"/>
    <dataValidation allowBlank="1" showInputMessage="1" showErrorMessage="1" prompt="Enter Month in this cell" sqref="C3 C25 C46 C67 C88 C109 C130 C151 C172 C193 C214 C235 C256" xr:uid="{EC3EAF26-4463-9542-969C-FF04775CF3A9}"/>
  </dataValidations>
  <printOptions horizontalCentered="1"/>
  <pageMargins left="0.7" right="0.7" top="0.75" bottom="0.75" header="0.3" footer="0.3"/>
  <pageSetup scale="95" fitToHeight="0" orientation="portrait" r:id="rId1"/>
  <headerFooter differentFirst="1">
    <oddFooter>Page &amp;P of &amp;N</oddFooter>
  </headerFooter>
  <drawing r:id="rId2"/>
  <tableParts count="1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31C5-A03B-48E0-8DDB-CEE87221F865}">
  <sheetPr codeName="Sheet4"/>
  <dimension ref="A1:D4"/>
  <sheetViews>
    <sheetView workbookViewId="0">
      <selection activeCell="C6" sqref="C6"/>
    </sheetView>
  </sheetViews>
  <sheetFormatPr defaultRowHeight="14" x14ac:dyDescent="0.3"/>
  <cols>
    <col min="1" max="2" width="17.33203125" customWidth="1"/>
    <col min="3" max="3" width="17.25" style="29" customWidth="1"/>
    <col min="4" max="4" width="34.75" customWidth="1"/>
  </cols>
  <sheetData>
    <row r="1" spans="1:4" ht="28" customHeight="1" x14ac:dyDescent="0.3">
      <c r="A1" s="28" t="s">
        <v>35</v>
      </c>
      <c r="B1" s="28" t="s">
        <v>36</v>
      </c>
      <c r="C1" s="28" t="s">
        <v>38</v>
      </c>
      <c r="D1" s="28" t="s">
        <v>40</v>
      </c>
    </row>
    <row r="2" spans="1:4" x14ac:dyDescent="0.3">
      <c r="C2"/>
    </row>
    <row r="3" spans="1:4" x14ac:dyDescent="0.3">
      <c r="A3" s="27"/>
    </row>
    <row r="4" spans="1:4" x14ac:dyDescent="0.3">
      <c r="A4" s="2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17679A-D5E8-45E8-B7E8-29E0E0113F61}">
          <x14:formula1>
            <xm:f>'Yearly income'!$C$11:$C$14</xm:f>
          </x14:formula1>
          <xm:sqref>B3:B1984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C594-4033-4F2D-B019-4CFC024E1025}">
  <sheetPr codeName="Sheet5"/>
  <dimension ref="A1:D7"/>
  <sheetViews>
    <sheetView workbookViewId="0">
      <selection activeCell="B6" sqref="B6"/>
    </sheetView>
  </sheetViews>
  <sheetFormatPr defaultRowHeight="14" x14ac:dyDescent="0.3"/>
  <cols>
    <col min="1" max="1" width="17.4140625" customWidth="1"/>
    <col min="2" max="2" width="17.33203125" customWidth="1"/>
    <col min="3" max="3" width="17.33203125" style="29" customWidth="1"/>
    <col min="4" max="4" width="34.58203125" customWidth="1"/>
  </cols>
  <sheetData>
    <row r="1" spans="1:4" ht="28" customHeight="1" x14ac:dyDescent="0.3">
      <c r="A1" s="28" t="s">
        <v>35</v>
      </c>
      <c r="B1" s="28" t="s">
        <v>36</v>
      </c>
      <c r="C1" s="28" t="s">
        <v>37</v>
      </c>
      <c r="D1" s="28" t="s">
        <v>40</v>
      </c>
    </row>
    <row r="2" spans="1:4" x14ac:dyDescent="0.3">
      <c r="C2"/>
    </row>
    <row r="3" spans="1:4" x14ac:dyDescent="0.3">
      <c r="A3" s="27"/>
    </row>
    <row r="4" spans="1:4" x14ac:dyDescent="0.3">
      <c r="A4" s="27"/>
    </row>
    <row r="5" spans="1:4" x14ac:dyDescent="0.3">
      <c r="A5" s="27"/>
    </row>
    <row r="6" spans="1:4" x14ac:dyDescent="0.3">
      <c r="A6" s="27"/>
    </row>
    <row r="7" spans="1:4" x14ac:dyDescent="0.3">
      <c r="A7" s="2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3040CC-5EE9-4080-84B5-BBB1A8F911A4}">
          <x14:formula1>
            <xm:f>'Yearly expenses'!$C$6:$C$19</xm:f>
          </x14:formula1>
          <xm:sqref>B3:B1048576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BFA756-211F-451C-9A59-BEC43D5AF2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D63A9-91DC-4389-91CA-2CBCB9D677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47176D8A-BAC2-4510-9507-F06F7F983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TM00000075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Cash flow</vt:lpstr>
      <vt:lpstr>Yearly income</vt:lpstr>
      <vt:lpstr>Yearly expenses</vt:lpstr>
      <vt:lpstr>List Income</vt:lpstr>
      <vt:lpstr>List Expenses</vt:lpstr>
      <vt:lpstr>'Cash flow'!Print_Titles</vt:lpstr>
      <vt:lpstr>'Yearly expenses'!Print_Titles</vt:lpstr>
      <vt:lpstr>'Yearly income'!Print_Titles</vt:lpstr>
      <vt:lpstr>Title1</vt:lpstr>
      <vt:lpstr>Title2</vt:lpstr>
      <vt:lpstr>Title3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2022-11-28T07:55:11Z</dcterms:created>
  <dcterms:modified xsi:type="dcterms:W3CDTF">2025-11-28T11:33:41Z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